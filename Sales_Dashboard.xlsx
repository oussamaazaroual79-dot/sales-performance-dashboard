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zar_oussam\Desktop\"/>
    </mc:Choice>
  </mc:AlternateContent>
  <xr:revisionPtr revIDLastSave="0" documentId="8_{2238DF41-E853-489E-9EA2-C13A12FC424A}" xr6:coauthVersionLast="47" xr6:coauthVersionMax="47" xr10:uidLastSave="{00000000-0000-0000-0000-000000000000}"/>
  <bookViews>
    <workbookView xWindow="-110" yWindow="-110" windowWidth="21820" windowHeight="13900" tabRatio="500" xr2:uid="{00000000-000D-0000-FFFF-FFFF00000000}"/>
  </bookViews>
  <sheets>
    <sheet name="Dashboard" sheetId="1" r:id="rId1"/>
    <sheet name="Data" sheetId="2" r:id="rId2"/>
    <sheet name="Calc" sheetId="3" r:id="rId3"/>
    <sheet name="Guide" sheetId="4" r:id="rId4"/>
  </sheets>
  <definedNames>
    <definedName name="_xlnm._FilterDatabase" localSheetId="1" hidden="1">Data!$A$1:$J$375</definedName>
    <definedName name="_xlnm.Print_Area" localSheetId="0">Dashboard!$A$1:$N$54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3" l="1"/>
  <c r="A8" i="3"/>
  <c r="H8" i="3" s="1"/>
  <c r="B5" i="3"/>
  <c r="C44" i="3" s="1"/>
  <c r="E44" i="3" s="1"/>
  <c r="B2" i="3"/>
  <c r="B3" i="3" s="1"/>
  <c r="I375" i="2"/>
  <c r="J375" i="2" s="1"/>
  <c r="I374" i="2"/>
  <c r="J374" i="2" s="1"/>
  <c r="J373" i="2"/>
  <c r="I373" i="2"/>
  <c r="I372" i="2"/>
  <c r="J372" i="2" s="1"/>
  <c r="J371" i="2"/>
  <c r="I371" i="2"/>
  <c r="I370" i="2"/>
  <c r="J370" i="2" s="1"/>
  <c r="I369" i="2"/>
  <c r="J369" i="2" s="1"/>
  <c r="I368" i="2"/>
  <c r="J368" i="2" s="1"/>
  <c r="I367" i="2"/>
  <c r="J367" i="2" s="1"/>
  <c r="I366" i="2"/>
  <c r="J366" i="2" s="1"/>
  <c r="J365" i="2"/>
  <c r="I365" i="2"/>
  <c r="I364" i="2"/>
  <c r="J364" i="2" s="1"/>
  <c r="J363" i="2"/>
  <c r="I363" i="2"/>
  <c r="I362" i="2"/>
  <c r="J362" i="2" s="1"/>
  <c r="I361" i="2"/>
  <c r="J361" i="2" s="1"/>
  <c r="I360" i="2"/>
  <c r="J360" i="2" s="1"/>
  <c r="I359" i="2"/>
  <c r="J359" i="2" s="1"/>
  <c r="I358" i="2"/>
  <c r="J358" i="2" s="1"/>
  <c r="J357" i="2"/>
  <c r="I357" i="2"/>
  <c r="I356" i="2"/>
  <c r="J356" i="2" s="1"/>
  <c r="J355" i="2"/>
  <c r="I355" i="2"/>
  <c r="I354" i="2"/>
  <c r="J354" i="2" s="1"/>
  <c r="I353" i="2"/>
  <c r="J353" i="2" s="1"/>
  <c r="I352" i="2"/>
  <c r="J352" i="2" s="1"/>
  <c r="I351" i="2"/>
  <c r="J351" i="2" s="1"/>
  <c r="I350" i="2"/>
  <c r="J350" i="2" s="1"/>
  <c r="J349" i="2"/>
  <c r="I349" i="2"/>
  <c r="I348" i="2"/>
  <c r="J348" i="2" s="1"/>
  <c r="J347" i="2"/>
  <c r="I347" i="2"/>
  <c r="I346" i="2"/>
  <c r="J346" i="2" s="1"/>
  <c r="I345" i="2"/>
  <c r="J345" i="2" s="1"/>
  <c r="I344" i="2"/>
  <c r="J344" i="2" s="1"/>
  <c r="I343" i="2"/>
  <c r="J343" i="2" s="1"/>
  <c r="I342" i="2"/>
  <c r="J342" i="2" s="1"/>
  <c r="J341" i="2"/>
  <c r="I341" i="2"/>
  <c r="I340" i="2"/>
  <c r="J340" i="2" s="1"/>
  <c r="J339" i="2"/>
  <c r="I339" i="2"/>
  <c r="I338" i="2"/>
  <c r="J338" i="2" s="1"/>
  <c r="I337" i="2"/>
  <c r="J337" i="2" s="1"/>
  <c r="I336" i="2"/>
  <c r="J336" i="2" s="1"/>
  <c r="I335" i="2"/>
  <c r="J335" i="2" s="1"/>
  <c r="I334" i="2"/>
  <c r="J334" i="2" s="1"/>
  <c r="J333" i="2"/>
  <c r="I333" i="2"/>
  <c r="I332" i="2"/>
  <c r="J332" i="2" s="1"/>
  <c r="J331" i="2"/>
  <c r="I331" i="2"/>
  <c r="I330" i="2"/>
  <c r="J330" i="2" s="1"/>
  <c r="I329" i="2"/>
  <c r="J329" i="2" s="1"/>
  <c r="I328" i="2"/>
  <c r="J328" i="2" s="1"/>
  <c r="I327" i="2"/>
  <c r="J327" i="2" s="1"/>
  <c r="I326" i="2"/>
  <c r="J326" i="2" s="1"/>
  <c r="J325" i="2"/>
  <c r="I325" i="2"/>
  <c r="I324" i="2"/>
  <c r="J324" i="2" s="1"/>
  <c r="J323" i="2"/>
  <c r="I323" i="2"/>
  <c r="I322" i="2"/>
  <c r="J322" i="2" s="1"/>
  <c r="I321" i="2"/>
  <c r="J321" i="2" s="1"/>
  <c r="I320" i="2"/>
  <c r="J320" i="2" s="1"/>
  <c r="I319" i="2"/>
  <c r="J319" i="2" s="1"/>
  <c r="I318" i="2"/>
  <c r="J318" i="2" s="1"/>
  <c r="J317" i="2"/>
  <c r="I317" i="2"/>
  <c r="I316" i="2"/>
  <c r="J316" i="2" s="1"/>
  <c r="J315" i="2"/>
  <c r="I315" i="2"/>
  <c r="I314" i="2"/>
  <c r="J314" i="2" s="1"/>
  <c r="I313" i="2"/>
  <c r="J313" i="2" s="1"/>
  <c r="I312" i="2"/>
  <c r="J312" i="2" s="1"/>
  <c r="I311" i="2"/>
  <c r="J311" i="2" s="1"/>
  <c r="I310" i="2"/>
  <c r="J310" i="2" s="1"/>
  <c r="J309" i="2"/>
  <c r="I309" i="2"/>
  <c r="I308" i="2"/>
  <c r="J308" i="2" s="1"/>
  <c r="J307" i="2"/>
  <c r="I307" i="2"/>
  <c r="I306" i="2"/>
  <c r="J306" i="2" s="1"/>
  <c r="I305" i="2"/>
  <c r="J305" i="2" s="1"/>
  <c r="J304" i="2"/>
  <c r="I304" i="2"/>
  <c r="I303" i="2"/>
  <c r="J303" i="2" s="1"/>
  <c r="J302" i="2"/>
  <c r="I302" i="2"/>
  <c r="I301" i="2"/>
  <c r="J301" i="2" s="1"/>
  <c r="J300" i="2"/>
  <c r="I300" i="2"/>
  <c r="I299" i="2"/>
  <c r="J299" i="2" s="1"/>
  <c r="J298" i="2"/>
  <c r="I298" i="2"/>
  <c r="I297" i="2"/>
  <c r="J297" i="2" s="1"/>
  <c r="J296" i="2"/>
  <c r="I296" i="2"/>
  <c r="I295" i="2"/>
  <c r="J295" i="2" s="1"/>
  <c r="J294" i="2"/>
  <c r="I294" i="2"/>
  <c r="I293" i="2"/>
  <c r="J293" i="2" s="1"/>
  <c r="J292" i="2"/>
  <c r="I292" i="2"/>
  <c r="I291" i="2"/>
  <c r="J291" i="2" s="1"/>
  <c r="J290" i="2"/>
  <c r="I290" i="2"/>
  <c r="I289" i="2"/>
  <c r="J289" i="2" s="1"/>
  <c r="J288" i="2"/>
  <c r="I288" i="2"/>
  <c r="I287" i="2"/>
  <c r="J287" i="2" s="1"/>
  <c r="J286" i="2"/>
  <c r="I286" i="2"/>
  <c r="I285" i="2"/>
  <c r="J285" i="2" s="1"/>
  <c r="J284" i="2"/>
  <c r="I284" i="2"/>
  <c r="I283" i="2"/>
  <c r="J283" i="2" s="1"/>
  <c r="J282" i="2"/>
  <c r="I282" i="2"/>
  <c r="I281" i="2"/>
  <c r="J281" i="2" s="1"/>
  <c r="J280" i="2"/>
  <c r="I280" i="2"/>
  <c r="I279" i="2"/>
  <c r="J279" i="2" s="1"/>
  <c r="J278" i="2"/>
  <c r="I278" i="2"/>
  <c r="I277" i="2"/>
  <c r="J277" i="2" s="1"/>
  <c r="J276" i="2"/>
  <c r="I276" i="2"/>
  <c r="I275" i="2"/>
  <c r="J275" i="2" s="1"/>
  <c r="J274" i="2"/>
  <c r="I274" i="2"/>
  <c r="I273" i="2"/>
  <c r="J273" i="2" s="1"/>
  <c r="J272" i="2"/>
  <c r="I272" i="2"/>
  <c r="I271" i="2"/>
  <c r="J271" i="2" s="1"/>
  <c r="J270" i="2"/>
  <c r="I270" i="2"/>
  <c r="I269" i="2"/>
  <c r="J269" i="2" s="1"/>
  <c r="J268" i="2"/>
  <c r="I268" i="2"/>
  <c r="I267" i="2"/>
  <c r="J267" i="2" s="1"/>
  <c r="J266" i="2"/>
  <c r="I266" i="2"/>
  <c r="I265" i="2"/>
  <c r="J265" i="2" s="1"/>
  <c r="J264" i="2"/>
  <c r="I264" i="2"/>
  <c r="I263" i="2"/>
  <c r="J263" i="2" s="1"/>
  <c r="J262" i="2"/>
  <c r="I262" i="2"/>
  <c r="I261" i="2"/>
  <c r="J261" i="2" s="1"/>
  <c r="J260" i="2"/>
  <c r="I260" i="2"/>
  <c r="I259" i="2"/>
  <c r="J259" i="2" s="1"/>
  <c r="J258" i="2"/>
  <c r="I258" i="2"/>
  <c r="I257" i="2"/>
  <c r="J257" i="2" s="1"/>
  <c r="J256" i="2"/>
  <c r="I256" i="2"/>
  <c r="I255" i="2"/>
  <c r="J255" i="2" s="1"/>
  <c r="J254" i="2"/>
  <c r="I254" i="2"/>
  <c r="I253" i="2"/>
  <c r="J253" i="2" s="1"/>
  <c r="J252" i="2"/>
  <c r="I252" i="2"/>
  <c r="I251" i="2"/>
  <c r="J251" i="2" s="1"/>
  <c r="J250" i="2"/>
  <c r="I250" i="2"/>
  <c r="I249" i="2"/>
  <c r="J249" i="2" s="1"/>
  <c r="J248" i="2"/>
  <c r="I248" i="2"/>
  <c r="I247" i="2"/>
  <c r="J247" i="2" s="1"/>
  <c r="J246" i="2"/>
  <c r="I246" i="2"/>
  <c r="I245" i="2"/>
  <c r="J245" i="2" s="1"/>
  <c r="J244" i="2"/>
  <c r="I244" i="2"/>
  <c r="I243" i="2"/>
  <c r="J243" i="2" s="1"/>
  <c r="J242" i="2"/>
  <c r="I242" i="2"/>
  <c r="I241" i="2"/>
  <c r="J241" i="2" s="1"/>
  <c r="J240" i="2"/>
  <c r="I240" i="2"/>
  <c r="I239" i="2"/>
  <c r="J239" i="2" s="1"/>
  <c r="J238" i="2"/>
  <c r="I238" i="2"/>
  <c r="I237" i="2"/>
  <c r="J237" i="2" s="1"/>
  <c r="J236" i="2"/>
  <c r="I236" i="2"/>
  <c r="I235" i="2"/>
  <c r="J235" i="2" s="1"/>
  <c r="J234" i="2"/>
  <c r="I234" i="2"/>
  <c r="I233" i="2"/>
  <c r="J233" i="2" s="1"/>
  <c r="J232" i="2"/>
  <c r="I232" i="2"/>
  <c r="I231" i="2"/>
  <c r="J231" i="2" s="1"/>
  <c r="J230" i="2"/>
  <c r="I230" i="2"/>
  <c r="I229" i="2"/>
  <c r="J229" i="2" s="1"/>
  <c r="J228" i="2"/>
  <c r="I228" i="2"/>
  <c r="I227" i="2"/>
  <c r="J227" i="2" s="1"/>
  <c r="J226" i="2"/>
  <c r="I226" i="2"/>
  <c r="I225" i="2"/>
  <c r="J225" i="2" s="1"/>
  <c r="J224" i="2"/>
  <c r="I224" i="2"/>
  <c r="I223" i="2"/>
  <c r="J223" i="2" s="1"/>
  <c r="J222" i="2"/>
  <c r="I222" i="2"/>
  <c r="I221" i="2"/>
  <c r="J221" i="2" s="1"/>
  <c r="J220" i="2"/>
  <c r="I220" i="2"/>
  <c r="I219" i="2"/>
  <c r="J219" i="2" s="1"/>
  <c r="J218" i="2"/>
  <c r="I218" i="2"/>
  <c r="I217" i="2"/>
  <c r="J217" i="2" s="1"/>
  <c r="J216" i="2"/>
  <c r="I216" i="2"/>
  <c r="I215" i="2"/>
  <c r="J215" i="2" s="1"/>
  <c r="J214" i="2"/>
  <c r="I214" i="2"/>
  <c r="I213" i="2"/>
  <c r="J213" i="2" s="1"/>
  <c r="J212" i="2"/>
  <c r="I212" i="2"/>
  <c r="I211" i="2"/>
  <c r="J211" i="2" s="1"/>
  <c r="J210" i="2"/>
  <c r="I210" i="2"/>
  <c r="I209" i="2"/>
  <c r="J209" i="2" s="1"/>
  <c r="J208" i="2"/>
  <c r="I208" i="2"/>
  <c r="I207" i="2"/>
  <c r="J207" i="2" s="1"/>
  <c r="J206" i="2"/>
  <c r="I206" i="2"/>
  <c r="I205" i="2"/>
  <c r="J205" i="2" s="1"/>
  <c r="J204" i="2"/>
  <c r="I204" i="2"/>
  <c r="I203" i="2"/>
  <c r="J203" i="2" s="1"/>
  <c r="J202" i="2"/>
  <c r="I202" i="2"/>
  <c r="I201" i="2"/>
  <c r="J201" i="2" s="1"/>
  <c r="J200" i="2"/>
  <c r="I200" i="2"/>
  <c r="I199" i="2"/>
  <c r="J199" i="2" s="1"/>
  <c r="J198" i="2"/>
  <c r="I198" i="2"/>
  <c r="I197" i="2"/>
  <c r="J197" i="2" s="1"/>
  <c r="J196" i="2"/>
  <c r="I196" i="2"/>
  <c r="I195" i="2"/>
  <c r="J195" i="2" s="1"/>
  <c r="J194" i="2"/>
  <c r="I194" i="2"/>
  <c r="I193" i="2"/>
  <c r="J193" i="2" s="1"/>
  <c r="J192" i="2"/>
  <c r="I192" i="2"/>
  <c r="I191" i="2"/>
  <c r="J191" i="2" s="1"/>
  <c r="J190" i="2"/>
  <c r="I190" i="2"/>
  <c r="I189" i="2"/>
  <c r="J189" i="2" s="1"/>
  <c r="J188" i="2"/>
  <c r="I188" i="2"/>
  <c r="I187" i="2"/>
  <c r="J187" i="2" s="1"/>
  <c r="J186" i="2"/>
  <c r="I186" i="2"/>
  <c r="I185" i="2"/>
  <c r="J185" i="2" s="1"/>
  <c r="J184" i="2"/>
  <c r="I184" i="2"/>
  <c r="I183" i="2"/>
  <c r="J183" i="2" s="1"/>
  <c r="J182" i="2"/>
  <c r="I182" i="2"/>
  <c r="I181" i="2"/>
  <c r="J181" i="2" s="1"/>
  <c r="J180" i="2"/>
  <c r="I180" i="2"/>
  <c r="I179" i="2"/>
  <c r="J179" i="2" s="1"/>
  <c r="J178" i="2"/>
  <c r="I178" i="2"/>
  <c r="I177" i="2"/>
  <c r="J177" i="2" s="1"/>
  <c r="J176" i="2"/>
  <c r="I176" i="2"/>
  <c r="I175" i="2"/>
  <c r="J175" i="2" s="1"/>
  <c r="J174" i="2"/>
  <c r="I174" i="2"/>
  <c r="I173" i="2"/>
  <c r="J173" i="2" s="1"/>
  <c r="J172" i="2"/>
  <c r="I172" i="2"/>
  <c r="I171" i="2"/>
  <c r="J171" i="2" s="1"/>
  <c r="J170" i="2"/>
  <c r="I170" i="2"/>
  <c r="I169" i="2"/>
  <c r="J169" i="2" s="1"/>
  <c r="J168" i="2"/>
  <c r="I168" i="2"/>
  <c r="I167" i="2"/>
  <c r="J167" i="2" s="1"/>
  <c r="J166" i="2"/>
  <c r="I166" i="2"/>
  <c r="I165" i="2"/>
  <c r="J165" i="2" s="1"/>
  <c r="J164" i="2"/>
  <c r="I164" i="2"/>
  <c r="I163" i="2"/>
  <c r="J163" i="2" s="1"/>
  <c r="J162" i="2"/>
  <c r="I162" i="2"/>
  <c r="I161" i="2"/>
  <c r="J161" i="2" s="1"/>
  <c r="J160" i="2"/>
  <c r="I160" i="2"/>
  <c r="I159" i="2"/>
  <c r="J159" i="2" s="1"/>
  <c r="J158" i="2"/>
  <c r="I158" i="2"/>
  <c r="I157" i="2"/>
  <c r="J157" i="2" s="1"/>
  <c r="J156" i="2"/>
  <c r="I156" i="2"/>
  <c r="I155" i="2"/>
  <c r="J155" i="2" s="1"/>
  <c r="J154" i="2"/>
  <c r="I154" i="2"/>
  <c r="I153" i="2"/>
  <c r="J153" i="2" s="1"/>
  <c r="J152" i="2"/>
  <c r="I152" i="2"/>
  <c r="I151" i="2"/>
  <c r="J151" i="2" s="1"/>
  <c r="J150" i="2"/>
  <c r="I150" i="2"/>
  <c r="I149" i="2"/>
  <c r="J149" i="2" s="1"/>
  <c r="J148" i="2"/>
  <c r="I148" i="2"/>
  <c r="I147" i="2"/>
  <c r="J147" i="2" s="1"/>
  <c r="J146" i="2"/>
  <c r="I146" i="2"/>
  <c r="I145" i="2"/>
  <c r="J145" i="2" s="1"/>
  <c r="J144" i="2"/>
  <c r="I144" i="2"/>
  <c r="I143" i="2"/>
  <c r="J143" i="2" s="1"/>
  <c r="J142" i="2"/>
  <c r="I142" i="2"/>
  <c r="I141" i="2"/>
  <c r="J141" i="2" s="1"/>
  <c r="J140" i="2"/>
  <c r="I140" i="2"/>
  <c r="I139" i="2"/>
  <c r="J139" i="2" s="1"/>
  <c r="J138" i="2"/>
  <c r="I138" i="2"/>
  <c r="I137" i="2"/>
  <c r="J137" i="2" s="1"/>
  <c r="J136" i="2"/>
  <c r="I136" i="2"/>
  <c r="I135" i="2"/>
  <c r="J135" i="2" s="1"/>
  <c r="J134" i="2"/>
  <c r="I134" i="2"/>
  <c r="I133" i="2"/>
  <c r="J133" i="2" s="1"/>
  <c r="J132" i="2"/>
  <c r="I132" i="2"/>
  <c r="I131" i="2"/>
  <c r="J131" i="2" s="1"/>
  <c r="J130" i="2"/>
  <c r="I130" i="2"/>
  <c r="I129" i="2"/>
  <c r="J129" i="2" s="1"/>
  <c r="J128" i="2"/>
  <c r="I128" i="2"/>
  <c r="I127" i="2"/>
  <c r="J127" i="2" s="1"/>
  <c r="J126" i="2"/>
  <c r="I126" i="2"/>
  <c r="I125" i="2"/>
  <c r="J125" i="2" s="1"/>
  <c r="J124" i="2"/>
  <c r="I124" i="2"/>
  <c r="I123" i="2"/>
  <c r="J123" i="2" s="1"/>
  <c r="J122" i="2"/>
  <c r="I122" i="2"/>
  <c r="I121" i="2"/>
  <c r="J121" i="2" s="1"/>
  <c r="J120" i="2"/>
  <c r="I120" i="2"/>
  <c r="I119" i="2"/>
  <c r="J119" i="2" s="1"/>
  <c r="J118" i="2"/>
  <c r="I118" i="2"/>
  <c r="I117" i="2"/>
  <c r="J117" i="2" s="1"/>
  <c r="J116" i="2"/>
  <c r="I116" i="2"/>
  <c r="I115" i="2"/>
  <c r="J115" i="2" s="1"/>
  <c r="J114" i="2"/>
  <c r="I114" i="2"/>
  <c r="I113" i="2"/>
  <c r="J113" i="2" s="1"/>
  <c r="J112" i="2"/>
  <c r="I112" i="2"/>
  <c r="I111" i="2"/>
  <c r="J111" i="2" s="1"/>
  <c r="J110" i="2"/>
  <c r="I110" i="2"/>
  <c r="I109" i="2"/>
  <c r="J109" i="2" s="1"/>
  <c r="J108" i="2"/>
  <c r="I108" i="2"/>
  <c r="I107" i="2"/>
  <c r="J107" i="2" s="1"/>
  <c r="J106" i="2"/>
  <c r="I106" i="2"/>
  <c r="I105" i="2"/>
  <c r="J105" i="2" s="1"/>
  <c r="J104" i="2"/>
  <c r="I104" i="2"/>
  <c r="I103" i="2"/>
  <c r="J103" i="2" s="1"/>
  <c r="J102" i="2"/>
  <c r="I102" i="2"/>
  <c r="I101" i="2"/>
  <c r="J101" i="2" s="1"/>
  <c r="J100" i="2"/>
  <c r="I100" i="2"/>
  <c r="I99" i="2"/>
  <c r="J99" i="2" s="1"/>
  <c r="J98" i="2"/>
  <c r="I98" i="2"/>
  <c r="I97" i="2"/>
  <c r="J97" i="2" s="1"/>
  <c r="J96" i="2"/>
  <c r="I96" i="2"/>
  <c r="I95" i="2"/>
  <c r="J95" i="2" s="1"/>
  <c r="J94" i="2"/>
  <c r="I94" i="2"/>
  <c r="I93" i="2"/>
  <c r="J93" i="2" s="1"/>
  <c r="J92" i="2"/>
  <c r="I92" i="2"/>
  <c r="I91" i="2"/>
  <c r="J91" i="2" s="1"/>
  <c r="J90" i="2"/>
  <c r="I90" i="2"/>
  <c r="I89" i="2"/>
  <c r="J89" i="2" s="1"/>
  <c r="J88" i="2"/>
  <c r="I88" i="2"/>
  <c r="I87" i="2"/>
  <c r="J87" i="2" s="1"/>
  <c r="J86" i="2"/>
  <c r="I86" i="2"/>
  <c r="I85" i="2"/>
  <c r="J85" i="2" s="1"/>
  <c r="J84" i="2"/>
  <c r="I84" i="2"/>
  <c r="I83" i="2"/>
  <c r="J83" i="2" s="1"/>
  <c r="J82" i="2"/>
  <c r="I82" i="2"/>
  <c r="I81" i="2"/>
  <c r="J81" i="2" s="1"/>
  <c r="J80" i="2"/>
  <c r="I80" i="2"/>
  <c r="I79" i="2"/>
  <c r="J79" i="2" s="1"/>
  <c r="J78" i="2"/>
  <c r="I78" i="2"/>
  <c r="I77" i="2"/>
  <c r="J77" i="2" s="1"/>
  <c r="J76" i="2"/>
  <c r="I76" i="2"/>
  <c r="I75" i="2"/>
  <c r="J75" i="2" s="1"/>
  <c r="J74" i="2"/>
  <c r="I74" i="2"/>
  <c r="I73" i="2"/>
  <c r="J73" i="2" s="1"/>
  <c r="J72" i="2"/>
  <c r="I72" i="2"/>
  <c r="I71" i="2"/>
  <c r="J71" i="2" s="1"/>
  <c r="J70" i="2"/>
  <c r="I70" i="2"/>
  <c r="I69" i="2"/>
  <c r="J69" i="2" s="1"/>
  <c r="J68" i="2"/>
  <c r="I68" i="2"/>
  <c r="I67" i="2"/>
  <c r="J67" i="2" s="1"/>
  <c r="J66" i="2"/>
  <c r="I66" i="2"/>
  <c r="I65" i="2"/>
  <c r="J65" i="2" s="1"/>
  <c r="J64" i="2"/>
  <c r="I64" i="2"/>
  <c r="I63" i="2"/>
  <c r="J63" i="2" s="1"/>
  <c r="J62" i="2"/>
  <c r="I62" i="2"/>
  <c r="I61" i="2"/>
  <c r="J61" i="2" s="1"/>
  <c r="J60" i="2"/>
  <c r="I60" i="2"/>
  <c r="I59" i="2"/>
  <c r="J59" i="2" s="1"/>
  <c r="J58" i="2"/>
  <c r="I58" i="2"/>
  <c r="I57" i="2"/>
  <c r="J57" i="2" s="1"/>
  <c r="J56" i="2"/>
  <c r="I56" i="2"/>
  <c r="I55" i="2"/>
  <c r="J55" i="2" s="1"/>
  <c r="J54" i="2"/>
  <c r="I54" i="2"/>
  <c r="I53" i="2"/>
  <c r="J53" i="2" s="1"/>
  <c r="J52" i="2"/>
  <c r="I52" i="2"/>
  <c r="I51" i="2"/>
  <c r="J51" i="2" s="1"/>
  <c r="J50" i="2"/>
  <c r="I50" i="2"/>
  <c r="I49" i="2"/>
  <c r="J49" i="2" s="1"/>
  <c r="J48" i="2"/>
  <c r="I48" i="2"/>
  <c r="I47" i="2"/>
  <c r="J47" i="2" s="1"/>
  <c r="J46" i="2"/>
  <c r="I46" i="2"/>
  <c r="I45" i="2"/>
  <c r="J45" i="2" s="1"/>
  <c r="J44" i="2"/>
  <c r="I44" i="2"/>
  <c r="I43" i="2"/>
  <c r="J43" i="2" s="1"/>
  <c r="J42" i="2"/>
  <c r="I42" i="2"/>
  <c r="I41" i="2"/>
  <c r="J41" i="2" s="1"/>
  <c r="J40" i="2"/>
  <c r="I40" i="2"/>
  <c r="I39" i="2"/>
  <c r="J39" i="2" s="1"/>
  <c r="J38" i="2"/>
  <c r="I38" i="2"/>
  <c r="I37" i="2"/>
  <c r="J37" i="2" s="1"/>
  <c r="J36" i="2"/>
  <c r="I36" i="2"/>
  <c r="I35" i="2"/>
  <c r="J35" i="2" s="1"/>
  <c r="J34" i="2"/>
  <c r="I34" i="2"/>
  <c r="I33" i="2"/>
  <c r="J33" i="2" s="1"/>
  <c r="J32" i="2"/>
  <c r="I32" i="2"/>
  <c r="I31" i="2"/>
  <c r="J31" i="2" s="1"/>
  <c r="J30" i="2"/>
  <c r="I30" i="2"/>
  <c r="I29" i="2"/>
  <c r="J29" i="2" s="1"/>
  <c r="J28" i="2"/>
  <c r="I28" i="2"/>
  <c r="I27" i="2"/>
  <c r="J27" i="2" s="1"/>
  <c r="J26" i="2"/>
  <c r="I26" i="2"/>
  <c r="I25" i="2"/>
  <c r="J25" i="2" s="1"/>
  <c r="J24" i="2"/>
  <c r="I24" i="2"/>
  <c r="I23" i="2"/>
  <c r="J23" i="2" s="1"/>
  <c r="J22" i="2"/>
  <c r="I22" i="2"/>
  <c r="I21" i="2"/>
  <c r="J21" i="2" s="1"/>
  <c r="J20" i="2"/>
  <c r="I20" i="2"/>
  <c r="I19" i="2"/>
  <c r="J19" i="2" s="1"/>
  <c r="J18" i="2"/>
  <c r="I18" i="2"/>
  <c r="I17" i="2"/>
  <c r="J17" i="2" s="1"/>
  <c r="J16" i="2"/>
  <c r="I16" i="2"/>
  <c r="I15" i="2"/>
  <c r="J15" i="2" s="1"/>
  <c r="J14" i="2"/>
  <c r="I14" i="2"/>
  <c r="I13" i="2"/>
  <c r="J13" i="2" s="1"/>
  <c r="J12" i="2"/>
  <c r="I12" i="2"/>
  <c r="I11" i="2"/>
  <c r="J11" i="2" s="1"/>
  <c r="J10" i="2"/>
  <c r="I10" i="2"/>
  <c r="I9" i="2"/>
  <c r="J9" i="2" s="1"/>
  <c r="J8" i="2"/>
  <c r="I8" i="2"/>
  <c r="I7" i="2"/>
  <c r="J7" i="2" s="1"/>
  <c r="J6" i="2"/>
  <c r="I6" i="2"/>
  <c r="I5" i="2"/>
  <c r="J5" i="2" s="1"/>
  <c r="J4" i="2"/>
  <c r="I4" i="2"/>
  <c r="I3" i="2"/>
  <c r="J3" i="2" s="1"/>
  <c r="J2" i="2"/>
  <c r="I2" i="2"/>
  <c r="B52" i="1"/>
  <c r="B51" i="1"/>
  <c r="B50" i="1"/>
  <c r="I49" i="1"/>
  <c r="B49" i="1"/>
  <c r="I48" i="1"/>
  <c r="B48" i="1"/>
  <c r="I47" i="1"/>
  <c r="B47" i="1"/>
  <c r="I46" i="1"/>
  <c r="B46" i="1"/>
  <c r="I45" i="1"/>
  <c r="B45" i="1"/>
  <c r="B2" i="1"/>
  <c r="D8" i="3" l="1"/>
  <c r="C34" i="3"/>
  <c r="E8" i="3"/>
  <c r="C45" i="3"/>
  <c r="E45" i="3" s="1"/>
  <c r="C41" i="3"/>
  <c r="E41" i="3" s="1"/>
  <c r="B34" i="3"/>
  <c r="C31" i="3"/>
  <c r="C46" i="3"/>
  <c r="E46" i="3" s="1"/>
  <c r="C42" i="3"/>
  <c r="E42" i="3" s="1"/>
  <c r="C32" i="3"/>
  <c r="B31" i="3"/>
  <c r="C26" i="3"/>
  <c r="C25" i="3"/>
  <c r="C24" i="3"/>
  <c r="C23" i="3"/>
  <c r="C43" i="3"/>
  <c r="E43" i="3" s="1"/>
  <c r="C39" i="3"/>
  <c r="E39" i="3" s="1"/>
  <c r="C33" i="3"/>
  <c r="B32" i="3"/>
  <c r="B26" i="3"/>
  <c r="B25" i="3"/>
  <c r="B24" i="3"/>
  <c r="B23" i="3"/>
  <c r="C40" i="3"/>
  <c r="E40" i="3" s="1"/>
  <c r="F40" i="3" s="1"/>
  <c r="C8" i="3"/>
  <c r="B8" i="3"/>
  <c r="A9" i="3"/>
  <c r="B33" i="3"/>
  <c r="F8" i="3"/>
  <c r="F9" i="3"/>
  <c r="F10" i="3"/>
  <c r="F11" i="3"/>
  <c r="F12" i="3"/>
  <c r="F13" i="3"/>
  <c r="F14" i="3"/>
  <c r="F15" i="3"/>
  <c r="F16" i="3"/>
  <c r="F17" i="3"/>
  <c r="F18" i="3"/>
  <c r="F19" i="3"/>
  <c r="B27" i="3" l="1"/>
  <c r="F23" i="3"/>
  <c r="M45" i="1" s="1"/>
  <c r="J45" i="1"/>
  <c r="D23" i="3"/>
  <c r="L45" i="1" s="1"/>
  <c r="C27" i="3"/>
  <c r="K45" i="1"/>
  <c r="B35" i="3"/>
  <c r="D32" i="3" s="1"/>
  <c r="D31" i="3"/>
  <c r="C35" i="3"/>
  <c r="C9" i="3"/>
  <c r="G9" i="3" s="1"/>
  <c r="B9" i="3"/>
  <c r="A10" i="3"/>
  <c r="H9" i="3"/>
  <c r="E9" i="3"/>
  <c r="D9" i="3"/>
  <c r="F24" i="3"/>
  <c r="M46" i="1" s="1"/>
  <c r="J46" i="1"/>
  <c r="D24" i="3"/>
  <c r="L46" i="1" s="1"/>
  <c r="K46" i="1"/>
  <c r="D34" i="3"/>
  <c r="F26" i="3"/>
  <c r="M48" i="1" s="1"/>
  <c r="J48" i="1"/>
  <c r="L8" i="1"/>
  <c r="G8" i="3"/>
  <c r="F25" i="3"/>
  <c r="M47" i="1" s="1"/>
  <c r="J47" i="1"/>
  <c r="F39" i="3"/>
  <c r="D25" i="3"/>
  <c r="L47" i="1" s="1"/>
  <c r="K47" i="1"/>
  <c r="F42" i="3"/>
  <c r="F41" i="3"/>
  <c r="D33" i="3"/>
  <c r="F43" i="3"/>
  <c r="D26" i="3"/>
  <c r="L48" i="1" s="1"/>
  <c r="K48" i="1"/>
  <c r="F46" i="3"/>
  <c r="F45" i="3"/>
  <c r="F44" i="3"/>
  <c r="D27" i="3" l="1"/>
  <c r="L49" i="1" s="1"/>
  <c r="K49" i="1"/>
  <c r="B57" i="3"/>
  <c r="C52" i="1" s="1"/>
  <c r="E57" i="3"/>
  <c r="F52" i="1" s="1"/>
  <c r="B56" i="3"/>
  <c r="C51" i="1" s="1"/>
  <c r="C55" i="3"/>
  <c r="D50" i="1" s="1"/>
  <c r="D54" i="3"/>
  <c r="E53" i="3"/>
  <c r="F48" i="1" s="1"/>
  <c r="B52" i="3"/>
  <c r="C47" i="1" s="1"/>
  <c r="C51" i="3"/>
  <c r="D46" i="1" s="1"/>
  <c r="D50" i="3"/>
  <c r="D57" i="3"/>
  <c r="E56" i="3"/>
  <c r="F51" i="1" s="1"/>
  <c r="B55" i="3"/>
  <c r="C50" i="1" s="1"/>
  <c r="C54" i="3"/>
  <c r="D49" i="1" s="1"/>
  <c r="D53" i="3"/>
  <c r="E52" i="3"/>
  <c r="F47" i="1" s="1"/>
  <c r="B51" i="3"/>
  <c r="C46" i="1" s="1"/>
  <c r="C50" i="3"/>
  <c r="D45" i="1" s="1"/>
  <c r="C57" i="3"/>
  <c r="D52" i="1" s="1"/>
  <c r="D56" i="3"/>
  <c r="E55" i="3"/>
  <c r="F50" i="1" s="1"/>
  <c r="B54" i="3"/>
  <c r="C49" i="1" s="1"/>
  <c r="C53" i="3"/>
  <c r="D48" i="1" s="1"/>
  <c r="D52" i="3"/>
  <c r="E51" i="3"/>
  <c r="F46" i="1" s="1"/>
  <c r="B50" i="3"/>
  <c r="C45" i="1" s="1"/>
  <c r="C56" i="3"/>
  <c r="D51" i="1" s="1"/>
  <c r="B53" i="3"/>
  <c r="C48" i="1" s="1"/>
  <c r="D55" i="3"/>
  <c r="C52" i="3"/>
  <c r="D47" i="1" s="1"/>
  <c r="E54" i="3"/>
  <c r="F49" i="1" s="1"/>
  <c r="D51" i="3"/>
  <c r="E50" i="3"/>
  <c r="F45" i="1" s="1"/>
  <c r="C10" i="3"/>
  <c r="B10" i="3"/>
  <c r="A11" i="3"/>
  <c r="H10" i="3"/>
  <c r="E10" i="3"/>
  <c r="D10" i="3"/>
  <c r="D35" i="3"/>
  <c r="F27" i="3"/>
  <c r="M49" i="1" s="1"/>
  <c r="J49" i="1"/>
  <c r="G10" i="3" l="1"/>
  <c r="F53" i="3"/>
  <c r="G48" i="1" s="1"/>
  <c r="E48" i="1"/>
  <c r="F57" i="3"/>
  <c r="G52" i="1" s="1"/>
  <c r="E52" i="1"/>
  <c r="F50" i="3"/>
  <c r="G45" i="1" s="1"/>
  <c r="E45" i="1"/>
  <c r="F54" i="3"/>
  <c r="G49" i="1" s="1"/>
  <c r="E49" i="1"/>
  <c r="C11" i="3"/>
  <c r="G11" i="3" s="1"/>
  <c r="B11" i="3"/>
  <c r="A12" i="3"/>
  <c r="H11" i="3"/>
  <c r="E11" i="3"/>
  <c r="D11" i="3"/>
  <c r="F55" i="3"/>
  <c r="G50" i="1" s="1"/>
  <c r="E50" i="1"/>
  <c r="F51" i="3"/>
  <c r="G46" i="1" s="1"/>
  <c r="E46" i="1"/>
  <c r="F52" i="3"/>
  <c r="G47" i="1" s="1"/>
  <c r="E47" i="1"/>
  <c r="F56" i="3"/>
  <c r="G51" i="1" s="1"/>
  <c r="E51" i="1"/>
  <c r="C12" i="3" l="1"/>
  <c r="B12" i="3"/>
  <c r="A13" i="3"/>
  <c r="H12" i="3"/>
  <c r="E12" i="3"/>
  <c r="D12" i="3"/>
  <c r="G12" i="3" l="1"/>
  <c r="C13" i="3"/>
  <c r="G13" i="3" s="1"/>
  <c r="B13" i="3"/>
  <c r="A14" i="3"/>
  <c r="H13" i="3"/>
  <c r="E13" i="3"/>
  <c r="D13" i="3"/>
  <c r="C14" i="3" l="1"/>
  <c r="G14" i="3" s="1"/>
  <c r="B14" i="3"/>
  <c r="A15" i="3"/>
  <c r="H14" i="3"/>
  <c r="E14" i="3"/>
  <c r="D14" i="3"/>
  <c r="C15" i="3" l="1"/>
  <c r="G15" i="3" s="1"/>
  <c r="B15" i="3"/>
  <c r="A16" i="3"/>
  <c r="H15" i="3"/>
  <c r="E15" i="3"/>
  <c r="D15" i="3"/>
  <c r="C16" i="3" l="1"/>
  <c r="B16" i="3"/>
  <c r="A17" i="3"/>
  <c r="H16" i="3"/>
  <c r="E16" i="3"/>
  <c r="D16" i="3"/>
  <c r="C17" i="3" l="1"/>
  <c r="G17" i="3" s="1"/>
  <c r="B17" i="3"/>
  <c r="A18" i="3"/>
  <c r="H17" i="3"/>
  <c r="E17" i="3"/>
  <c r="D17" i="3"/>
  <c r="G16" i="3"/>
  <c r="C18" i="3" l="1"/>
  <c r="G18" i="3" s="1"/>
  <c r="B18" i="3"/>
  <c r="A19" i="3"/>
  <c r="H18" i="3"/>
  <c r="E18" i="3"/>
  <c r="D18" i="3"/>
  <c r="C19" i="3" l="1"/>
  <c r="B19" i="3"/>
  <c r="E19" i="3"/>
  <c r="D19" i="3"/>
  <c r="H19" i="3"/>
  <c r="J8" i="1" l="1"/>
  <c r="B8" i="1"/>
  <c r="J7" i="1"/>
  <c r="B7" i="1"/>
  <c r="L7" i="1"/>
  <c r="H8" i="1"/>
  <c r="H7" i="1"/>
  <c r="G19" i="3"/>
  <c r="F8" i="1" s="1"/>
  <c r="D8" i="1"/>
  <c r="D7" i="1"/>
  <c r="F7" i="1"/>
</calcChain>
</file>

<file path=xl/sharedStrings.xml><?xml version="1.0" encoding="utf-8"?>
<sst xmlns="http://schemas.openxmlformats.org/spreadsheetml/2006/main" count="1624" uniqueCount="467">
  <si>
    <t>SALES PERFORMANCE DASHBOARD</t>
  </si>
  <si>
    <t>Region ▸</t>
  </si>
  <si>
    <t>All</t>
  </si>
  <si>
    <t>Pick a region in the yellow cell – KPIs, the monthly chart and the category mix update.</t>
  </si>
  <si>
    <t>REVENUE</t>
  </si>
  <si>
    <t>GROSS PROFIT</t>
  </si>
  <si>
    <t>PROFIT MARGIN</t>
  </si>
  <si>
    <t>ORDERS</t>
  </si>
  <si>
    <t>AVG ORDER VALUE</t>
  </si>
  <si>
    <t>VS TARGET</t>
  </si>
  <si>
    <t>TRENDS &amp; MIX</t>
  </si>
  <si>
    <t>LEADERBOARD &amp; REGIONS</t>
  </si>
  <si>
    <t>#</t>
  </si>
  <si>
    <t>Sales rep</t>
  </si>
  <si>
    <t>Region</t>
  </si>
  <si>
    <t>Revenue</t>
  </si>
  <si>
    <t>Target</t>
  </si>
  <si>
    <t>Attainment</t>
  </si>
  <si>
    <t>Profit</t>
  </si>
  <si>
    <t>Margin</t>
  </si>
  <si>
    <t>vs target</t>
  </si>
  <si>
    <t>Region filter drives the KPI cards, monthly chart and category mix. The region view and rep leaderboard always show every region/rep. Attainment colours: green ≥ 100%, amber 90–99%, red &lt; 90%.</t>
  </si>
  <si>
    <t>Date</t>
  </si>
  <si>
    <t>Order ID</t>
  </si>
  <si>
    <t>Sales Rep</t>
  </si>
  <si>
    <t>Category</t>
  </si>
  <si>
    <t>Units</t>
  </si>
  <si>
    <t>Unit Price ($)</t>
  </si>
  <si>
    <t>Unit Cost ($)</t>
  </si>
  <si>
    <t>Revenue ($)</t>
  </si>
  <si>
    <t>Profit ($)</t>
  </si>
  <si>
    <t>SO-1001</t>
  </si>
  <si>
    <t>East</t>
  </si>
  <si>
    <t>Kenji Tanaka</t>
  </si>
  <si>
    <t>Accessories</t>
  </si>
  <si>
    <t>SO-1002</t>
  </si>
  <si>
    <t>North</t>
  </si>
  <si>
    <t>Liam Carter</t>
  </si>
  <si>
    <t>SO-1003</t>
  </si>
  <si>
    <t>Sofia Rossi</t>
  </si>
  <si>
    <t>Services</t>
  </si>
  <si>
    <t>SO-1004</t>
  </si>
  <si>
    <t>Software</t>
  </si>
  <si>
    <t>SO-1005</t>
  </si>
  <si>
    <t>South</t>
  </si>
  <si>
    <t>Elena Petrova</t>
  </si>
  <si>
    <t>SO-1006</t>
  </si>
  <si>
    <t>Priya Nair</t>
  </si>
  <si>
    <t>SO-1007</t>
  </si>
  <si>
    <t>West</t>
  </si>
  <si>
    <t>Maya Lopez</t>
  </si>
  <si>
    <t>SO-1008</t>
  </si>
  <si>
    <t>SO-1009</t>
  </si>
  <si>
    <t>SO-1010</t>
  </si>
  <si>
    <t>SO-1011</t>
  </si>
  <si>
    <t>Noah Becker</t>
  </si>
  <si>
    <t>SO-1012</t>
  </si>
  <si>
    <t>Omar Haddad</t>
  </si>
  <si>
    <t>SO-1013</t>
  </si>
  <si>
    <t>SO-1014</t>
  </si>
  <si>
    <t>SO-1015</t>
  </si>
  <si>
    <t>Hardware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</si>
  <si>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</si>
  <si>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</si>
  <si>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</si>
  <si>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</si>
  <si>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</si>
  <si>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</si>
  <si>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</si>
  <si>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</si>
  <si>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</si>
  <si>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</si>
  <si>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</si>
  <si>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</si>
  <si>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</si>
  <si>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</si>
  <si>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</si>
  <si>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</si>
  <si>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</si>
  <si>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</si>
  <si>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</si>
  <si>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</si>
  <si>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</si>
  <si>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</si>
  <si>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</si>
  <si>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</si>
  <si>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</si>
  <si>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</si>
  <si>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</si>
  <si>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</si>
  <si>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</si>
  <si>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</si>
  <si>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</si>
  <si>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</si>
  <si>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</si>
  <si>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SO-1049</t>
  </si>
  <si>
    <t>SO-1050</t>
  </si>
  <si>
    <t>SO-1051</t>
  </si>
  <si>
    <t>SO-1052</t>
  </si>
  <si>
    <t>SO-1053</t>
  </si>
  <si>
    <t>SO-1054</t>
  </si>
  <si>
    <t>SO-1055</t>
  </si>
  <si>
    <t>SO-1056</t>
  </si>
  <si>
    <t>SO-1057</t>
  </si>
  <si>
    <t>SO-1058</t>
  </si>
  <si>
    <t>SO-1059</t>
  </si>
  <si>
    <t>SO-1060</t>
  </si>
  <si>
    <t>SO-1061</t>
  </si>
  <si>
    <t>SO-1062</t>
  </si>
  <si>
    <t>SO-1063</t>
  </si>
  <si>
    <t>SO-1064</t>
  </si>
  <si>
    <t>SO-1065</t>
  </si>
  <si>
    <t>SO-1066</t>
  </si>
  <si>
    <t>SO-1067</t>
  </si>
  <si>
    <t>SO-1068</t>
  </si>
  <si>
    <t>SO-1069</t>
  </si>
  <si>
    <t>SO-1070</t>
  </si>
  <si>
    <t>SO-1071</t>
  </si>
  <si>
    <t>SO-1072</t>
  </si>
  <si>
    <t>SO-1073</t>
  </si>
  <si>
    <t>SO-1074</t>
  </si>
  <si>
    <t>SO-1075</t>
  </si>
  <si>
    <t>SO-1076</t>
  </si>
  <si>
    <t>SO-1077</t>
  </si>
  <si>
    <t>SO-1078</t>
  </si>
  <si>
    <t>SO-1079</t>
  </si>
  <si>
    <t>SO-1080</t>
  </si>
  <si>
    <t>SO-1081</t>
  </si>
  <si>
    <t>SO-1082</t>
  </si>
  <si>
    <t>SO-1083</t>
  </si>
  <si>
    <t>SO-1084</t>
  </si>
  <si>
    <t>SO-1085</t>
  </si>
  <si>
    <t>SO-1086</t>
  </si>
  <si>
    <t>SO-1087</t>
  </si>
  <si>
    <t>SO-1088</t>
  </si>
  <si>
    <t>SO-1089</t>
  </si>
  <si>
    <t>SO-1090</t>
  </si>
  <si>
    <t>SO-1091</t>
  </si>
  <si>
    <t>SO-1092</t>
  </si>
  <si>
    <t>SO-1093</t>
  </si>
  <si>
    <t>SO-1094</t>
  </si>
  <si>
    <t>SO-1095</t>
  </si>
  <si>
    <t>SO-1096</t>
  </si>
  <si>
    <t>SO-1097</t>
  </si>
  <si>
    <t>SO-1098</t>
  </si>
  <si>
    <t>SO-1099</t>
  </si>
  <si>
    <t>SO-1100</t>
  </si>
  <si>
    <t>SO-1101</t>
  </si>
  <si>
    <t>SO-1102</t>
  </si>
  <si>
    <t>SO-1103</t>
  </si>
  <si>
    <t>SO-1104</t>
  </si>
  <si>
    <t>SO-1105</t>
  </si>
  <si>
    <t>SO-1106</t>
  </si>
  <si>
    <t>SO-1107</t>
  </si>
  <si>
    <t>SO-1108</t>
  </si>
  <si>
    <t>SO-1109</t>
  </si>
  <si>
    <t>SO-1110</t>
  </si>
  <si>
    <t>SO-1111</t>
  </si>
  <si>
    <t>SO-1112</t>
  </si>
  <si>
    <t>SO-1113</t>
  </si>
  <si>
    <t>SO-1114</t>
  </si>
  <si>
    <t>SO-1115</t>
  </si>
  <si>
    <t>SO-1116</t>
  </si>
  <si>
    <t>SO-1117</t>
  </si>
  <si>
    <t>SO-1118</t>
  </si>
  <si>
    <t>SO-1119</t>
  </si>
  <si>
    <t>SO-1120</t>
  </si>
  <si>
    <t>SO-1121</t>
  </si>
  <si>
    <t>SO-1122</t>
  </si>
  <si>
    <t>SO-1123</t>
  </si>
  <si>
    <t>SO-1124</t>
  </si>
  <si>
    <t>SO-1125</t>
  </si>
  <si>
    <t>SO-1126</t>
  </si>
  <si>
    <t>SO-1127</t>
  </si>
  <si>
    <t>SO-1128</t>
  </si>
  <si>
    <t>SO-1129</t>
  </si>
  <si>
    <t>SO-1130</t>
  </si>
  <si>
    <t>SO-1131</t>
  </si>
  <si>
    <t>SO-1132</t>
  </si>
  <si>
    <t>SO-1133</t>
  </si>
  <si>
    <t>SO-1134</t>
  </si>
  <si>
    <t>SO-1135</t>
  </si>
  <si>
    <t>SO-1136</t>
  </si>
  <si>
    <t>SO-1137</t>
  </si>
  <si>
    <t>SO-1138</t>
  </si>
  <si>
    <t>SO-1139</t>
  </si>
  <si>
    <t>SO-1140</t>
  </si>
  <si>
    <t>SO-1141</t>
  </si>
  <si>
    <t>SO-1142</t>
  </si>
  <si>
    <t>SO-1143</t>
  </si>
  <si>
    <t>SO-1144</t>
  </si>
  <si>
    <t>SO-1145</t>
  </si>
  <si>
    <t>SO-1146</t>
  </si>
  <si>
    <t>SO-1147</t>
  </si>
  <si>
    <t>SO-1148</t>
  </si>
  <si>
    <t>SO-1149</t>
  </si>
  <si>
    <t>SO-1150</t>
  </si>
  <si>
    <t>SO-1151</t>
  </si>
  <si>
    <t>SO-1152</t>
  </si>
  <si>
    <t>SO-1153</t>
  </si>
  <si>
    <t>SO-1154</t>
  </si>
  <si>
    <t>SO-1155</t>
  </si>
  <si>
    <t>SO-1156</t>
  </si>
  <si>
    <t>SO-1157</t>
  </si>
  <si>
    <t>SO-1158</t>
  </si>
  <si>
    <t>SO-1159</t>
  </si>
  <si>
    <t>SO-1160</t>
  </si>
  <si>
    <t>SO-1161</t>
  </si>
  <si>
    <t>SO-1162</t>
  </si>
  <si>
    <t>SO-1163</t>
  </si>
  <si>
    <t>SO-1164</t>
  </si>
  <si>
    <t>SO-1165</t>
  </si>
  <si>
    <t>SO-1166</t>
  </si>
  <si>
    <t>SO-1167</t>
  </si>
  <si>
    <t>SO-1168</t>
  </si>
  <si>
    <t>SO-1169</t>
  </si>
  <si>
    <t>SO-1170</t>
  </si>
  <si>
    <t>SO-1171</t>
  </si>
  <si>
    <t>SO-1172</t>
  </si>
  <si>
    <t>SO-1173</t>
  </si>
  <si>
    <t>SO-1174</t>
  </si>
  <si>
    <t>SO-1175</t>
  </si>
  <si>
    <t>SO-1176</t>
  </si>
  <si>
    <t>SO-1177</t>
  </si>
  <si>
    <t>SO-1178</t>
  </si>
  <si>
    <t>SO-1179</t>
  </si>
  <si>
    <t>SO-1180</t>
  </si>
  <si>
    <t>SO-1181</t>
  </si>
  <si>
    <t>SO-1182</t>
  </si>
  <si>
    <t>SO-1183</t>
  </si>
  <si>
    <t>SO-1184</t>
  </si>
  <si>
    <t>SO-1185</t>
  </si>
  <si>
    <t>SO-1186</t>
  </si>
  <si>
    <t>SO-1187</t>
  </si>
  <si>
    <t>SO-1188</t>
  </si>
  <si>
    <t>SO-1189</t>
  </si>
  <si>
    <t>SO-1190</t>
  </si>
  <si>
    <t>SO-1191</t>
  </si>
  <si>
    <t>SO-1192</t>
  </si>
  <si>
    <t>SO-1193</t>
  </si>
  <si>
    <t>SO-1194</t>
  </si>
  <si>
    <t>SO-1195</t>
  </si>
  <si>
    <t>SO-1196</t>
  </si>
  <si>
    <t>SO-1197</t>
  </si>
  <si>
    <t>SO-1198</t>
  </si>
  <si>
    <t>SO-1199</t>
  </si>
  <si>
    <t>SO-1200</t>
  </si>
  <si>
    <t>SO-1201</t>
  </si>
  <si>
    <t>SO-1202</t>
  </si>
  <si>
    <t>SO-1203</t>
  </si>
  <si>
    <t>SO-1204</t>
  </si>
  <si>
    <t>SO-1205</t>
  </si>
  <si>
    <t>SO-1206</t>
  </si>
  <si>
    <t>SO-1207</t>
  </si>
  <si>
    <t>SO-1208</t>
  </si>
  <si>
    <t>SO-1209</t>
  </si>
  <si>
    <t>SO-1210</t>
  </si>
  <si>
    <t>SO-1211</t>
  </si>
  <si>
    <t>SO-1212</t>
  </si>
  <si>
    <t>SO-1213</t>
  </si>
  <si>
    <t>SO-1214</t>
  </si>
  <si>
    <t>SO-1215</t>
  </si>
  <si>
    <t>SO-1216</t>
  </si>
  <si>
    <t>SO-1217</t>
  </si>
  <si>
    <t>SO-1218</t>
  </si>
  <si>
    <t>SO-1219</t>
  </si>
  <si>
    <t>SO-1220</t>
  </si>
  <si>
    <t>SO-1221</t>
  </si>
  <si>
    <t>SO-1222</t>
  </si>
  <si>
    <t>SO-1223</t>
  </si>
  <si>
    <t>SO-1224</t>
  </si>
  <si>
    <t>SO-1225</t>
  </si>
  <si>
    <t>SO-1226</t>
  </si>
  <si>
    <t>SO-1227</t>
  </si>
  <si>
    <t>SO-1228</t>
  </si>
  <si>
    <t>SO-1229</t>
  </si>
  <si>
    <t>SO-1230</t>
  </si>
  <si>
    <t>SO-1231</t>
  </si>
  <si>
    <t>SO-1232</t>
  </si>
  <si>
    <t>SO-1233</t>
  </si>
  <si>
    <t>SO-1234</t>
  </si>
  <si>
    <t>SO-1235</t>
  </si>
  <si>
    <t>SO-1236</t>
  </si>
  <si>
    <t>SO-1237</t>
  </si>
  <si>
    <t>SO-1238</t>
  </si>
  <si>
    <t>SO-1239</t>
  </si>
  <si>
    <t>SO-1240</t>
  </si>
  <si>
    <t>SO-1241</t>
  </si>
  <si>
    <t>SO-1242</t>
  </si>
  <si>
    <t>SO-1243</t>
  </si>
  <si>
    <t>SO-1244</t>
  </si>
  <si>
    <t>SO-1245</t>
  </si>
  <si>
    <t>SO-1246</t>
  </si>
  <si>
    <t>SO-1247</t>
  </si>
  <si>
    <t>SO-1248</t>
  </si>
  <si>
    <t>SO-1249</t>
  </si>
  <si>
    <t>SO-1250</t>
  </si>
  <si>
    <t>SO-1251</t>
  </si>
  <si>
    <t>SO-1252</t>
  </si>
  <si>
    <t>SO-1253</t>
  </si>
  <si>
    <t>SO-1254</t>
  </si>
  <si>
    <t>SO-1255</t>
  </si>
  <si>
    <t>SO-1256</t>
  </si>
  <si>
    <t>SO-1257</t>
  </si>
  <si>
    <t>SO-1258</t>
  </si>
  <si>
    <t>SO-1259</t>
  </si>
  <si>
    <t>SO-1260</t>
  </si>
  <si>
    <t>SO-1261</t>
  </si>
  <si>
    <t>SO-1262</t>
  </si>
  <si>
    <t>SO-1263</t>
  </si>
  <si>
    <t>SO-1264</t>
  </si>
  <si>
    <t>SO-1265</t>
  </si>
  <si>
    <t>SO-1266</t>
  </si>
  <si>
    <t>SO-1267</t>
  </si>
  <si>
    <t>SO-1268</t>
  </si>
  <si>
    <t>SO-1269</t>
  </si>
  <si>
    <t>SO-1270</t>
  </si>
  <si>
    <t>SO-1271</t>
  </si>
  <si>
    <t>SO-1272</t>
  </si>
  <si>
    <t>SO-1273</t>
  </si>
  <si>
    <t>SO-1274</t>
  </si>
  <si>
    <t>SO-1275</t>
  </si>
  <si>
    <t>SO-1276</t>
  </si>
  <si>
    <t>SO-1277</t>
  </si>
  <si>
    <t>SO-1278</t>
  </si>
  <si>
    <t>SO-1279</t>
  </si>
  <si>
    <t>SO-1280</t>
  </si>
  <si>
    <t>SO-1281</t>
  </si>
  <si>
    <t>SO-1282</t>
  </si>
  <si>
    <t>SO-1283</t>
  </si>
  <si>
    <t>SO-1284</t>
  </si>
  <si>
    <t>SO-1285</t>
  </si>
  <si>
    <t>SO-1286</t>
  </si>
  <si>
    <t>SO-1287</t>
  </si>
  <si>
    <t>SO-1288</t>
  </si>
  <si>
    <t>SO-1289</t>
  </si>
  <si>
    <t>SO-1290</t>
  </si>
  <si>
    <t>SO-1291</t>
  </si>
  <si>
    <t>SO-1292</t>
  </si>
  <si>
    <t>SO-1293</t>
  </si>
  <si>
    <t>SO-1294</t>
  </si>
  <si>
    <t>SO-1295</t>
  </si>
  <si>
    <t>SO-1296</t>
  </si>
  <si>
    <t>SO-1297</t>
  </si>
  <si>
    <t>SO-1298</t>
  </si>
  <si>
    <t>SO-1299</t>
  </si>
  <si>
    <t>SO-1300</t>
  </si>
  <si>
    <t>SO-1301</t>
  </si>
  <si>
    <t>SO-1302</t>
  </si>
  <si>
    <t>SO-1303</t>
  </si>
  <si>
    <t>SO-1304</t>
  </si>
  <si>
    <t>SO-1305</t>
  </si>
  <si>
    <t>SO-1306</t>
  </si>
  <si>
    <t>SO-1307</t>
  </si>
  <si>
    <t>SO-1308</t>
  </si>
  <si>
    <t>SO-1309</t>
  </si>
  <si>
    <t>SO-1310</t>
  </si>
  <si>
    <t>SO-1311</t>
  </si>
  <si>
    <t>SO-1312</t>
  </si>
  <si>
    <t>SO-1313</t>
  </si>
  <si>
    <t>SO-1314</t>
  </si>
  <si>
    <t>SO-1315</t>
  </si>
  <si>
    <t>SO-1316</t>
  </si>
  <si>
    <t>SO-1317</t>
  </si>
  <si>
    <t>SO-1318</t>
  </si>
  <si>
    <t>SO-1319</t>
  </si>
  <si>
    <t>SO-1320</t>
  </si>
  <si>
    <t>SO-1321</t>
  </si>
  <si>
    <t>SO-1322</t>
  </si>
  <si>
    <t>SO-1323</t>
  </si>
  <si>
    <t>SO-1324</t>
  </si>
  <si>
    <t>SO-1325</t>
  </si>
  <si>
    <t>SO-1326</t>
  </si>
  <si>
    <t>SO-1327</t>
  </si>
  <si>
    <t>SO-1328</t>
  </si>
  <si>
    <t>SO-1329</t>
  </si>
  <si>
    <t>SO-1330</t>
  </si>
  <si>
    <t>SO-1331</t>
  </si>
  <si>
    <t>SO-1332</t>
  </si>
  <si>
    <t>SO-1333</t>
  </si>
  <si>
    <t>SO-1334</t>
  </si>
  <si>
    <t>SO-1335</t>
  </si>
  <si>
    <t>SO-1336</t>
  </si>
  <si>
    <t>SO-1337</t>
  </si>
  <si>
    <t>SO-1338</t>
  </si>
  <si>
    <t>SO-1339</t>
  </si>
  <si>
    <t>SO-1340</t>
  </si>
  <si>
    <t>SO-1341</t>
  </si>
  <si>
    <t>SO-1342</t>
  </si>
  <si>
    <t>SO-1343</t>
  </si>
  <si>
    <t>SO-1344</t>
  </si>
  <si>
    <t>SO-1345</t>
  </si>
  <si>
    <t>SO-1346</t>
  </si>
  <si>
    <t>SO-1347</t>
  </si>
  <si>
    <t>SO-1348</t>
  </si>
  <si>
    <t>SO-1349</t>
  </si>
  <si>
    <t>SO-1350</t>
  </si>
  <si>
    <t>SO-1351</t>
  </si>
  <si>
    <t>SO-1352</t>
  </si>
  <si>
    <t>SO-1353</t>
  </si>
  <si>
    <t>SO-1354</t>
  </si>
  <si>
    <t>SO-1355</t>
  </si>
  <si>
    <t>SO-1356</t>
  </si>
  <si>
    <t>SO-1357</t>
  </si>
  <si>
    <t>SO-1358</t>
  </si>
  <si>
    <t>SO-1359</t>
  </si>
  <si>
    <t>SO-1360</t>
  </si>
  <si>
    <t>SO-1361</t>
  </si>
  <si>
    <t>SO-1362</t>
  </si>
  <si>
    <t>SO-1363</t>
  </si>
  <si>
    <t>SO-1364</t>
  </si>
  <si>
    <t>SO-1365</t>
  </si>
  <si>
    <t>SO-1366</t>
  </si>
  <si>
    <t>SO-1367</t>
  </si>
  <si>
    <t>SO-1368</t>
  </si>
  <si>
    <t>SO-1369</t>
  </si>
  <si>
    <t>SO-1370</t>
  </si>
  <si>
    <t>SO-1371</t>
  </si>
  <si>
    <t>SO-1372</t>
  </si>
  <si>
    <t>SO-1373</t>
  </si>
  <si>
    <t>SO-1374</t>
  </si>
  <si>
    <t>Calculation layer (feeds the Dashboard – no need to edit except the blue/yellow inputs)</t>
  </si>
  <si>
    <t>Region filter (from Dashboard)</t>
  </si>
  <si>
    <t>Region criterion</t>
  </si>
  <si>
    <t>Period start (first month)</t>
  </si>
  <si>
    <t>Period end (exclusive)</t>
  </si>
  <si>
    <t>Month</t>
  </si>
  <si>
    <t>Orders</t>
  </si>
  <si>
    <t>Label</t>
  </si>
  <si>
    <t>Annual target</t>
  </si>
  <si>
    <t>Total</t>
  </si>
  <si>
    <t>Share</t>
  </si>
  <si>
    <t>Rep</t>
  </si>
  <si>
    <t>Sort key</t>
  </si>
  <si>
    <t>Rank</t>
  </si>
  <si>
    <t>Note: targets (blue) are illustrative inputs invented for this sample. Monthly target = selected region's annual target ÷ 12 (all regions when filter = All).</t>
  </si>
  <si>
    <t>HOW TO USE THIS WORKBOOK</t>
  </si>
  <si>
    <t>1. Add data</t>
  </si>
  <si>
    <t>Paste new orders at the bottom of the Data sheet (columns A–H, blue). Copy the Revenue and Profit formulas (I–J) down. Formulas read rows 2–2000.</t>
  </si>
  <si>
    <t>2. Roll the period</t>
  </si>
  <si>
    <t>Change the yellow 'Period start' cell on the Calc sheet (B4). The Dashboard always shows 12 months from that date.</t>
  </si>
  <si>
    <t>3. Set targets</t>
  </si>
  <si>
    <t>Edit the blue annual targets for regions (Calc E23:E26) and reps (Calc D39:D46).</t>
  </si>
  <si>
    <t>4. Filter</t>
  </si>
  <si>
    <t>Use the yellow region dropdown on the Dashboard (C4).</t>
  </si>
  <si>
    <t>COLOUR CODE</t>
  </si>
  <si>
    <t>Blue text</t>
  </si>
  <si>
    <t>Hard-coded input you can change (sample data, targets).</t>
  </si>
  <si>
    <t>Black text</t>
  </si>
  <si>
    <t>Formula – do not overwrite.</t>
  </si>
  <si>
    <t>Yellow fill</t>
  </si>
  <si>
    <t>Control cell (filter, period start).</t>
  </si>
  <si>
    <t>ASSUMPTIONS</t>
  </si>
  <si>
    <t>Sample data</t>
  </si>
  <si>
    <t>All 300+ orders, prices, costs and targets are synthetic and were generated for illustration. Replace with your own data.</t>
  </si>
  <si>
    <t>Currency</t>
  </si>
  <si>
    <t>Shown in $. Change the number formats if you report in another currency (e.g. MAD).</t>
  </si>
  <si>
    <t>Profit = Revenue − Units × Unit Cost (gross profit, before overheads).</t>
  </si>
  <si>
    <t>LAYOUT LOGIC</t>
  </si>
  <si>
    <t>Top band</t>
  </si>
  <si>
    <t>Title, period and filter – tells the reader what they are looking at.</t>
  </si>
  <si>
    <t>KPI row</t>
  </si>
  <si>
    <t>Six headline numbers, left to right: size (revenue, profit) → quality (margin) → volume (orders, AOV) → goal (vs target).</t>
  </si>
  <si>
    <t>Chart grid</t>
  </si>
  <si>
    <t>Trend (top-left) → breakdowns by region/category/rep. Max 4 charts, same size, aligned to the same grid.</t>
  </si>
  <si>
    <t>Tables</t>
  </si>
  <si>
    <t>Exact numbers with traffic-light attainment for anyone who wants to drill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</si>
</sst>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7" formatCode="yyyy\-mm\-dd"/>
    <numFmt numFmtId="168" formatCode="\$#,##0;&quot;($&quot;#,##0\);\-"/>
    <numFmt numFmtId="169" formatCode="mmm\ yyyy"/>
  </numFmts>
  <fonts count="16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sz val="10"/>
      <color rgb="FFD6DCE5"/>
      <name val="Arial"/>
      <family val="2"/>
    </font>
    <font>
      <b/>
      <sz val="10"/>
      <color rgb="FF1F3864"/>
      <name val="Arial"/>
      <family val="2"/>
    </font>
    <font>
      <b/>
      <sz val="11"/>
      <color rgb="FF0000FF"/>
      <name val="Arial"/>
      <family val="2"/>
    </font>
    <font>
      <i/>
      <sz val="9"/>
      <color rgb="FF6B7280"/>
      <name val="Arial"/>
      <family val="2"/>
    </font>
    <font>
      <b/>
      <sz val="9"/>
      <color rgb="FF6B7280"/>
      <name val="Arial"/>
      <family val="2"/>
    </font>
    <font>
      <b/>
      <sz val="20"/>
      <color rgb="FF1F3864"/>
      <name val="Arial"/>
      <family val="2"/>
    </font>
    <font>
      <sz val="9"/>
      <color rgb="FF6B7280"/>
      <name val="Arial"/>
      <family val="2"/>
    </font>
    <font>
      <b/>
      <sz val="11"/>
      <color rgb="FF2A9D8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sz val="12"/>
      <color rgb="FF1F3864"/>
      <name val="Arial"/>
      <family val="2"/>
    </font>
    <font>
      <b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EB9C"/>
      </patternFill>
    </fill>
    <fill>
      <patternFill patternType="solid">
        <fgColor rgb="FFF2F5F9"/>
        <bgColor rgb="FFFFFFF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2A9D8F"/>
      </bottom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8" fillId="4" borderId="2" xfId="0" applyFont="1" applyFill="1" applyBorder="1" applyAlignment="1">
      <alignment horizontal="center" vertical="top"/>
    </xf>
    <xf numFmtId="3" fontId="7" fillId="4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vertical="center" indent="1"/>
    </xf>
    <xf numFmtId="0" fontId="1" fillId="2" borderId="0" xfId="0" applyFont="1" applyFill="1" applyBorder="1" applyAlignment="1">
      <alignment vertical="center" indent="1"/>
    </xf>
    <xf numFmtId="0" fontId="3" fillId="0" borderId="0" xfId="0" applyFont="1" applyAlignment="1">
      <alignment horizontal="right"/>
    </xf>
    <xf numFmtId="0" fontId="5" fillId="0" borderId="0" xfId="0" applyFont="1"/>
    <xf numFmtId="0" fontId="9" fillId="0" borderId="3" xfId="0" applyFont="1" applyBorder="1"/>
    <xf numFmtId="0" fontId="0" fillId="0" borderId="3" xfId="0" applyBorder="1"/>
    <xf numFmtId="0" fontId="10" fillId="2" borderId="0" xfId="0" applyFont="1" applyFill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/>
    <xf numFmtId="164" fontId="11" fillId="0" borderId="4" xfId="0" applyNumberFormat="1" applyFont="1" applyBorder="1"/>
    <xf numFmtId="165" fontId="11" fillId="0" borderId="4" xfId="0" applyNumberFormat="1" applyFont="1" applyBorder="1"/>
    <xf numFmtId="0" fontId="12" fillId="0" borderId="4" xfId="0" applyFont="1" applyBorder="1"/>
    <xf numFmtId="164" fontId="12" fillId="0" borderId="4" xfId="0" applyNumberFormat="1" applyFont="1" applyBorder="1"/>
    <xf numFmtId="165" fontId="12" fillId="0" borderId="4" xfId="0" applyNumberFormat="1" applyFont="1" applyBorder="1"/>
    <xf numFmtId="0" fontId="10" fillId="2" borderId="0" xfId="0" applyFont="1" applyFill="1" applyAlignment="1">
      <alignment horizontal="center" vertical="center" wrapText="1"/>
    </xf>
    <xf numFmtId="167" fontId="13" fillId="0" borderId="0" xfId="0" applyNumberFormat="1" applyFont="1"/>
    <xf numFmtId="0" fontId="13" fillId="0" borderId="0" xfId="0" applyFont="1"/>
    <xf numFmtId="4" fontId="13" fillId="0" borderId="0" xfId="0" applyNumberFormat="1" applyFont="1"/>
    <xf numFmtId="168" fontId="11" fillId="0" borderId="0" xfId="0" applyNumberFormat="1" applyFont="1"/>
    <xf numFmtId="0" fontId="14" fillId="0" borderId="0" xfId="0" applyFont="1"/>
    <xf numFmtId="0" fontId="11" fillId="0" borderId="0" xfId="0" applyFont="1"/>
    <xf numFmtId="167" fontId="15" fillId="5" borderId="0" xfId="0" applyNumberFormat="1" applyFont="1" applyFill="1"/>
    <xf numFmtId="167" fontId="11" fillId="0" borderId="0" xfId="0" applyNumberFormat="1" applyFont="1"/>
    <xf numFmtId="169" fontId="11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164" fontId="13" fillId="0" borderId="0" xfId="0" applyNumberFormat="1" applyFont="1"/>
    <xf numFmtId="0" fontId="12" fillId="0" borderId="0" xfId="0" applyFont="1"/>
    <xf numFmtId="164" fontId="12" fillId="0" borderId="0" xfId="0" applyNumberFormat="1" applyFont="1"/>
    <xf numFmtId="165" fontId="12" fillId="0" borderId="0" xfId="0" applyNumberFormat="1" applyFont="1"/>
    <xf numFmtId="4" fontId="11" fillId="0" borderId="0" xfId="0" applyNumberFormat="1" applyFont="1"/>
    <xf numFmtId="0" fontId="9" fillId="0" borderId="0" xfId="0" applyFont="1"/>
    <xf numFmtId="0" fontId="3" fillId="0" borderId="0" xfId="0" applyFont="1"/>
    <xf numFmtId="0" fontId="11" fillId="0" borderId="0" xfId="0" applyFont="1" applyAlignment="1">
      <alignment vertical="top" wrapText="1"/>
    </xf>
    <xf numFmtId="0" fontId="15" fillId="0" borderId="0" xfId="0" applyFont="1"/>
  </cellXfs>
  <cellStyles count="1">
    <cellStyle name="Normal" xfId="0" builtinId="0"/>
  </cellStyles>
  <dxfs count="9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sz val="20"/>
        <color rgb="FFC0392B"/>
        <name val="Arial"/>
        <charset val="1"/>
      </font>
    </dxf>
    <dxf>
      <font>
        <b/>
        <sz val="20"/>
        <color rgb="FFB7791F"/>
        <name val="Arial"/>
        <charset val="1"/>
      </font>
    </dxf>
    <dxf>
      <font>
        <b/>
        <sz val="20"/>
        <color rgb="FF1E7B4F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7791F"/>
      <rgbColor rgb="FF800080"/>
      <rgbColor rgb="FF1E7B4F"/>
      <rgbColor rgb="FFBFBFBF"/>
      <rgbColor rgb="FF878787"/>
      <rgbColor rgb="FF9999FF"/>
      <rgbColor rgb="FF9C5700"/>
      <rgbColor rgb="FFF2F5F9"/>
      <rgbColor rgb="FFD9D9D9"/>
      <rgbColor rgb="FF660066"/>
      <rgbColor rgb="FFE76F51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9C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E9C46A"/>
      <rgbColor rgb="FFFF9900"/>
      <rgbColor rgb="FFFF6600"/>
      <rgbColor rgb="FF6B7280"/>
      <rgbColor rgb="FF969696"/>
      <rgbColor rgb="FF1F3864"/>
      <rgbColor rgb="FF2A9D8F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H" sz="1800" b="1" strike="noStrike" spc="-1">
                <a:solidFill>
                  <a:srgbClr val="000000"/>
                </a:solidFill>
                <a:latin typeface="Calibri"/>
              </a:rPr>
              <a:t>Monthly revenue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Calc!$H$8:$H$19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Calc!$B$8:$B$19</c:f>
              <c:numCache>
                <c:formatCode>\$#,##0</c:formatCode>
                <c:ptCount val="12"/>
                <c:pt idx="0">
                  <c:v>91979.87</c:v>
                </c:pt>
                <c:pt idx="1">
                  <c:v>100542.15000000001</c:v>
                </c:pt>
                <c:pt idx="2">
                  <c:v>126462.09999999999</c:v>
                </c:pt>
                <c:pt idx="3">
                  <c:v>92891.840000000011</c:v>
                </c:pt>
                <c:pt idx="4">
                  <c:v>95290.06</c:v>
                </c:pt>
                <c:pt idx="5">
                  <c:v>136010.5</c:v>
                </c:pt>
                <c:pt idx="6">
                  <c:v>109432.34000000001</c:v>
                </c:pt>
                <c:pt idx="7">
                  <c:v>127692.69</c:v>
                </c:pt>
                <c:pt idx="8">
                  <c:v>133109.51999999999</c:v>
                </c:pt>
                <c:pt idx="9">
                  <c:v>132471.72</c:v>
                </c:pt>
                <c:pt idx="10">
                  <c:v>125008.86000000003</c:v>
                </c:pt>
                <c:pt idx="11">
                  <c:v>150701.42999999996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6-43E8-BDC8-658CAEBB3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6927561"/>
        <c:axId val="46728700"/>
      </c:barChart>
      <c:lineChart>
        <c:grouping val="standard"/>
        <c:varyColors val="0"/>
        <c:ser>
          <c:idx val="1"/>
          <c:order val="1"/>
          <c:tx>
            <c:strRef>
              <c:f>Calc!$F$7</c:f>
              <c:strCache>
                <c:ptCount val="1"/>
                <c:pt idx="0">
                  <c:v>Target</c:v>
                </c:pt>
              </c:strCache>
            </c:strRef>
          </c:tx>
          <c:spPr>
            <a:ln w="28440">
              <a:solidFill>
                <a:srgbClr val="E76F5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Calc!$H$8:$H$19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Calc!$F$8:$F$19</c:f>
              <c:numCache>
                <c:formatCode>\$#,##0</c:formatCode>
                <c:ptCount val="12"/>
                <c:pt idx="0">
                  <c:v>123166.66666666667</c:v>
                </c:pt>
                <c:pt idx="1">
                  <c:v>123166.66666666667</c:v>
                </c:pt>
                <c:pt idx="2">
                  <c:v>123166.66666666667</c:v>
                </c:pt>
                <c:pt idx="3">
                  <c:v>123166.66666666667</c:v>
                </c:pt>
                <c:pt idx="4">
                  <c:v>123166.66666666667</c:v>
                </c:pt>
                <c:pt idx="5">
                  <c:v>123166.66666666667</c:v>
                </c:pt>
                <c:pt idx="6">
                  <c:v>123166.66666666667</c:v>
                </c:pt>
                <c:pt idx="7">
                  <c:v>123166.66666666667</c:v>
                </c:pt>
                <c:pt idx="8">
                  <c:v>123166.66666666667</c:v>
                </c:pt>
                <c:pt idx="9">
                  <c:v>123166.66666666667</c:v>
                </c:pt>
                <c:pt idx="10">
                  <c:v>123166.66666666667</c:v>
                </c:pt>
                <c:pt idx="11">
                  <c:v>123166.66666666667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46-43E8-BDC8-658CAEBB3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927561"/>
        <c:axId val="46728700"/>
      </c:lineChart>
      <c:catAx>
        <c:axId val="96927561"/>
        <c:scaling>
          <c:orientation val="minMax"/>
        </c:scaling>
        <c:delete val="0"/>
        <c:axPos val="b"/>
        <c:numFmt formatCode="Standar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6728700"/>
        <c:crosses val="autoZero"/>
        <c:auto val="1"/>
        <c:lblAlgn val="ctr"/>
        <c:lblOffset val="100"/>
        <c:noMultiLvlLbl val="0"/>
      </c:catAx>
      <c:valAx>
        <c:axId val="46728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69275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H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Calc!$B$22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Calc!$A$23:$A$26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Calc!$B$23:$B$26</c:f>
              <c:numCache>
                <c:formatCode>\$#,##0</c:formatCode>
                <c:ptCount val="4"/>
                <c:pt idx="0">
                  <c:v>374637.06999999989</c:v>
                </c:pt>
                <c:pt idx="1">
                  <c:v>352969.96000000008</c:v>
                </c:pt>
                <c:pt idx="2">
                  <c:v>309096.52000000008</c:v>
                </c:pt>
                <c:pt idx="3">
                  <c:v>384889.53000000014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2-43CC-B89D-9B44A675A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7301539"/>
        <c:axId val="23019511"/>
      </c:barChart>
      <c:catAx>
        <c:axId val="7301539"/>
        <c:scaling>
          <c:orientation val="minMax"/>
        </c:scaling>
        <c:delete val="0"/>
        <c:axPos val="b"/>
        <c:numFmt formatCode="Standar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3019511"/>
        <c:crosses val="autoZero"/>
        <c:auto val="1"/>
        <c:lblAlgn val="ctr"/>
        <c:lblOffset val="100"/>
        <c:noMultiLvlLbl val="0"/>
      </c:catAx>
      <c:valAx>
        <c:axId val="23019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3015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H" sz="1800" b="1" strike="noStrike" spc="-1">
                <a:solidFill>
                  <a:srgbClr val="000000"/>
                </a:solidFill>
                <a:latin typeface="Calibri"/>
              </a:rPr>
              <a:t>Revenue mix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Calc!$B$30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F386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A6F-4476-835E-1224DD5A38AE}"/>
              </c:ext>
            </c:extLst>
          </c:dPt>
          <c:dPt>
            <c:idx val="1"/>
            <c:bubble3D val="0"/>
            <c:spPr>
              <a:solidFill>
                <a:srgbClr val="2A9D8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A6F-4476-835E-1224DD5A38AE}"/>
              </c:ext>
            </c:extLst>
          </c:dPt>
          <c:dPt>
            <c:idx val="2"/>
            <c:bubble3D val="0"/>
            <c:spPr>
              <a:solidFill>
                <a:srgbClr val="E9C46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A6F-4476-835E-1224DD5A38AE}"/>
              </c:ext>
            </c:extLst>
          </c:dPt>
          <c:dPt>
            <c:idx val="3"/>
            <c:bubble3D val="0"/>
            <c:spPr>
              <a:solidFill>
                <a:srgbClr val="E76F5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A6F-4476-835E-1224DD5A38A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A6F-4476-835E-1224DD5A38A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A6F-4476-835E-1224DD5A38A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A6F-4476-835E-1224DD5A38A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A6F-4476-835E-1224DD5A38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Calc!$A$31:$A$34</c:f>
              <c:strCache>
                <c:ptCount val="4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  <c:pt idx="3">
                  <c:v>Accessories</c:v>
                </c:pt>
              </c:strCache>
            </c:strRef>
          </c:cat>
          <c:val>
            <c:numRef>
              <c:f>Calc!$B$31:$B$34</c:f>
              <c:numCache>
                <c:formatCode>\$#,##0</c:formatCode>
                <c:ptCount val="4"/>
                <c:pt idx="0">
                  <c:v>302676.57</c:v>
                </c:pt>
                <c:pt idx="1">
                  <c:v>482659.93999999994</c:v>
                </c:pt>
                <c:pt idx="2">
                  <c:v>479642.04999999981</c:v>
                </c:pt>
                <c:pt idx="3">
                  <c:v>156614.51999999999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6F-4476-835E-1224DD5A3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H" sz="1800" b="1" strike="noStrike" spc="-1">
                <a:solidFill>
                  <a:srgbClr val="000000"/>
                </a:solidFill>
                <a:latin typeface="Calibri"/>
              </a:rPr>
              <a:t>Top sales reps by revenue (all regions)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Calc!$D$49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Calc!$B$50:$B$57</c:f>
              <c:strCache>
                <c:ptCount val="8"/>
                <c:pt idx="0">
                  <c:v>Sofia Rossi</c:v>
                </c:pt>
                <c:pt idx="1">
                  <c:v>Noah Becker</c:v>
                </c:pt>
                <c:pt idx="2">
                  <c:v>Elena Petrova</c:v>
                </c:pt>
                <c:pt idx="3">
                  <c:v>Maya Lopez</c:v>
                </c:pt>
                <c:pt idx="4">
                  <c:v>Omar Haddad</c:v>
                </c:pt>
                <c:pt idx="5">
                  <c:v>Priya Nair</c:v>
                </c:pt>
                <c:pt idx="6">
                  <c:v>Liam Carter</c:v>
                </c:pt>
                <c:pt idx="7">
                  <c:v>Kenji Tanaka</c:v>
                </c:pt>
              </c:strCache>
            </c:strRef>
          </c:cat>
          <c:val>
            <c:numRef>
              <c:f>Calc!$D$50:$D$57</c:f>
              <c:numCache>
                <c:formatCode>\$#,##0</c:formatCode>
                <c:ptCount val="8"/>
                <c:pt idx="0">
                  <c:v>212231.30000000002</c:v>
                </c:pt>
                <c:pt idx="1">
                  <c:v>207557.45</c:v>
                </c:pt>
                <c:pt idx="2">
                  <c:v>180039.29999999993</c:v>
                </c:pt>
                <c:pt idx="3">
                  <c:v>177332.07999999996</c:v>
                </c:pt>
                <c:pt idx="4">
                  <c:v>172930.65999999992</c:v>
                </c:pt>
                <c:pt idx="5">
                  <c:v>171053.24000000005</c:v>
                </c:pt>
                <c:pt idx="6">
                  <c:v>162405.76999999996</c:v>
                </c:pt>
                <c:pt idx="7">
                  <c:v>138043.27999999997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3-4FF4-B9AE-45F72C9E0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2280064"/>
        <c:axId val="11903746"/>
      </c:barChart>
      <c:catAx>
        <c:axId val="82280064"/>
        <c:scaling>
          <c:orientation val="maxMin"/>
        </c:scaling>
        <c:delete val="0"/>
        <c:axPos val="l"/>
        <c:numFmt formatCode="Standar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1903746"/>
        <c:crosses val="autoZero"/>
        <c:auto val="1"/>
        <c:lblAlgn val="ctr"/>
        <c:lblOffset val="100"/>
        <c:noMultiLvlLbl val="0"/>
      </c:catAx>
      <c:valAx>
        <c:axId val="11903746"/>
        <c:scaling>
          <c:orientation val="minMax"/>
        </c:scaling>
        <c:delete val="0"/>
        <c:axPos val="t"/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22800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6</xdr:col>
      <xdr:colOff>674280</xdr:colOff>
      <xdr:row>23</xdr:row>
      <xdr:rowOff>187200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673920</xdr:colOff>
      <xdr:row>23</xdr:row>
      <xdr:rowOff>187200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6</xdr:col>
      <xdr:colOff>674280</xdr:colOff>
      <xdr:row>39</xdr:row>
      <xdr:rowOff>187200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12</xdr:col>
      <xdr:colOff>673920</xdr:colOff>
      <xdr:row>39</xdr:row>
      <xdr:rowOff>187200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9D8F"/>
    <pageSetUpPr fitToPage="1"/>
  </sheetPr>
  <dimension ref="B1:M54"/>
  <sheetViews>
    <sheetView showGridLines="0" tabSelected="1" zoomScaleNormal="100" workbookViewId="0"/>
  </sheetViews>
  <sheetFormatPr baseColWidth="10" defaultColWidth="8.6328125" defaultRowHeight="14.5" x14ac:dyDescent="0.35"/>
  <cols>
    <col min="1" max="1" width="2" customWidth="1"/>
    <col min="2" max="13" width="13" customWidth="1"/>
    <col min="14" max="14" width="2" customWidth="1"/>
  </cols>
  <sheetData>
    <row r="1" spans="2:13" ht="36" customHeight="1" x14ac:dyDescent="0.35"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2:13" ht="19.5" customHeight="1" x14ac:dyDescent="0.35">
      <c r="B2" s="7" t="str">
        <f>"Rolling 12 months: "&amp;TEXT(Calc!B4,"mmm yyyy")&amp;" – "&amp;TEXT(EDATE(Calc!B4,11),"mmm yyyy")&amp;"   |   Region: "&amp;C4</f>
        <v>Rolling 12 months: Oct 2025 – Sep 2026   |   Region: All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spans="2:13" ht="21.75" customHeight="1" x14ac:dyDescent="0.35">
      <c r="B4" s="9" t="s">
        <v>1</v>
      </c>
      <c r="C4" s="6" t="s">
        <v>2</v>
      </c>
      <c r="D4" s="6"/>
      <c r="F4" s="10" t="s">
        <v>3</v>
      </c>
    </row>
    <row r="6" spans="2:13" ht="19.5" customHeight="1" x14ac:dyDescent="0.35">
      <c r="B6" s="5" t="s">
        <v>4</v>
      </c>
      <c r="C6" s="5"/>
      <c r="D6" s="5" t="s">
        <v>5</v>
      </c>
      <c r="E6" s="5"/>
      <c r="F6" s="5" t="s">
        <v>6</v>
      </c>
      <c r="G6" s="5"/>
      <c r="H6" s="5" t="s">
        <v>7</v>
      </c>
      <c r="I6" s="5"/>
      <c r="J6" s="5" t="s">
        <v>8</v>
      </c>
      <c r="K6" s="5"/>
      <c r="L6" s="5" t="s">
        <v>9</v>
      </c>
      <c r="M6" s="5"/>
    </row>
    <row r="7" spans="2:13" ht="36" customHeight="1" x14ac:dyDescent="0.35">
      <c r="B7" s="4">
        <f>SUM(Calc!B8:B19)</f>
        <v>1421593.08</v>
      </c>
      <c r="C7" s="4"/>
      <c r="D7" s="4">
        <f>SUM(Calc!C8:C19)</f>
        <v>806835.73</v>
      </c>
      <c r="E7" s="4"/>
      <c r="F7" s="3">
        <f>IFERROR(SUM(Calc!C8:C19)/SUM(Calc!B8:B19),0)</f>
        <v>0.56755744055816582</v>
      </c>
      <c r="G7" s="3"/>
      <c r="H7" s="2">
        <f>SUM(Calc!D8:D19)</f>
        <v>374</v>
      </c>
      <c r="I7" s="2"/>
      <c r="J7" s="4">
        <f>IFERROR(SUM(Calc!B8:B19)/SUM(Calc!D8:D19),0)</f>
        <v>3801.0510160427812</v>
      </c>
      <c r="K7" s="4"/>
      <c r="L7" s="3">
        <f>IFERROR(SUM(Calc!B8:B19)/SUM(Calc!F8:F19),0)</f>
        <v>0.96183564276048705</v>
      </c>
      <c r="M7" s="3"/>
    </row>
    <row r="8" spans="2:13" ht="19.5" customHeight="1" x14ac:dyDescent="0.35">
      <c r="B8" s="1" t="str">
        <f>IF(Calc!B19&gt;=Calc!B18,"▲ ","▼ ")&amp;TEXT(ABS(IFERROR(Calc!B19/Calc!B18-1,0)),"0.0%")&amp;" vs prior month"</f>
        <v>▲ 20.6% vs prior month</v>
      </c>
      <c r="C8" s="1"/>
      <c r="D8" s="1" t="str">
        <f>IF(Calc!C19&gt;=Calc!C18,"▲ ","▼ ")&amp;TEXT(ABS(IFERROR(Calc!C19/Calc!C18-1,0)),"0.0%")&amp;" vs prior month"</f>
        <v>▲ 19.0% vs prior month</v>
      </c>
      <c r="E8" s="1"/>
      <c r="F8" s="1" t="str">
        <f>"Last month: "&amp;TEXT(Calc!G19,"0.0%")</f>
        <v>Last month: 56.1%</v>
      </c>
      <c r="G8" s="1"/>
      <c r="H8" s="1" t="str">
        <f>IF(Calc!D19&gt;=Calc!D18,"▲ ","▼ ")&amp;TEXT(ABS(IFERROR(Calc!D19/Calc!D18-1,0)),"0.0%")&amp;" vs prior month"</f>
        <v>▲ 14.3% vs prior month</v>
      </c>
      <c r="I8" s="1"/>
      <c r="J8" s="1" t="str">
        <f>"Last month: "&amp;TEXT(IFERROR(Calc!B19/Calc!D19,0),"$#,##0")</f>
        <v>Last month: $3,768</v>
      </c>
      <c r="K8" s="1"/>
      <c r="L8" s="1" t="str">
        <f>"Target: "&amp;TEXT(SUM(Calc!F8:F19),"$#,##0")</f>
        <v>Target: $1,478,000</v>
      </c>
      <c r="M8" s="1"/>
    </row>
    <row r="10" spans="2:13" ht="21.75" customHeight="1" x14ac:dyDescent="0.35">
      <c r="B10" s="11" t="s">
        <v>10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43" spans="2:13" ht="21.75" customHeight="1" x14ac:dyDescent="0.35">
      <c r="B43" s="11" t="s">
        <v>11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2:13" x14ac:dyDescent="0.35">
      <c r="B44" s="13" t="s">
        <v>12</v>
      </c>
      <c r="C44" s="13" t="s">
        <v>13</v>
      </c>
      <c r="D44" s="13" t="s">
        <v>14</v>
      </c>
      <c r="E44" s="13" t="s">
        <v>15</v>
      </c>
      <c r="F44" s="13" t="s">
        <v>16</v>
      </c>
      <c r="G44" s="13" t="s">
        <v>17</v>
      </c>
      <c r="I44" s="13" t="s">
        <v>14</v>
      </c>
      <c r="J44" s="13" t="s">
        <v>15</v>
      </c>
      <c r="K44" s="13" t="s">
        <v>18</v>
      </c>
      <c r="L44" s="13" t="s">
        <v>19</v>
      </c>
      <c r="M44" s="13" t="s">
        <v>20</v>
      </c>
    </row>
    <row r="45" spans="2:13" x14ac:dyDescent="0.35">
      <c r="B45" s="14">
        <f>Calc!A50</f>
        <v>1</v>
      </c>
      <c r="C45" s="15" t="str">
        <f>Calc!B50</f>
        <v>Sofia Rossi</v>
      </c>
      <c r="D45" s="15" t="str">
        <f>Calc!C50</f>
        <v>North</v>
      </c>
      <c r="E45" s="16">
        <f>Calc!D50</f>
        <v>212231.30000000002</v>
      </c>
      <c r="F45" s="16">
        <f>Calc!E50</f>
        <v>212000</v>
      </c>
      <c r="G45" s="17">
        <f>Calc!F50</f>
        <v>1.0010910377358491</v>
      </c>
      <c r="I45" s="15" t="str">
        <f>Calc!A23</f>
        <v>North</v>
      </c>
      <c r="J45" s="16">
        <f>Calc!B23</f>
        <v>374637.06999999989</v>
      </c>
      <c r="K45" s="16">
        <f>Calc!C23</f>
        <v>214734.50999999995</v>
      </c>
      <c r="L45" s="17">
        <f>Calc!D23</f>
        <v>0.57318009133479508</v>
      </c>
      <c r="M45" s="17">
        <f>Calc!F23</f>
        <v>0.93193300995024853</v>
      </c>
    </row>
    <row r="46" spans="2:13" x14ac:dyDescent="0.35">
      <c r="B46" s="14">
        <f>Calc!A51</f>
        <v>2</v>
      </c>
      <c r="C46" s="15" t="str">
        <f>Calc!B51</f>
        <v>Noah Becker</v>
      </c>
      <c r="D46" s="15" t="str">
        <f>Calc!C51</f>
        <v>West</v>
      </c>
      <c r="E46" s="16">
        <f>Calc!D51</f>
        <v>207557.45</v>
      </c>
      <c r="F46" s="16">
        <f>Calc!E51</f>
        <v>219000</v>
      </c>
      <c r="G46" s="17">
        <f>Calc!F51</f>
        <v>0.94775091324200922</v>
      </c>
      <c r="I46" s="15" t="str">
        <f>Calc!A24</f>
        <v>South</v>
      </c>
      <c r="J46" s="16">
        <f>Calc!B24</f>
        <v>352969.96000000008</v>
      </c>
      <c r="K46" s="16">
        <f>Calc!C24</f>
        <v>201394.93000000002</v>
      </c>
      <c r="L46" s="17">
        <f>Calc!D24</f>
        <v>0.57057243624924903</v>
      </c>
      <c r="M46" s="17">
        <f>Calc!F24</f>
        <v>0.94125322666666689</v>
      </c>
    </row>
    <row r="47" spans="2:13" x14ac:dyDescent="0.35">
      <c r="B47" s="14">
        <f>Calc!A52</f>
        <v>3</v>
      </c>
      <c r="C47" s="15" t="str">
        <f>Calc!B52</f>
        <v>Elena Petrova</v>
      </c>
      <c r="D47" s="15" t="str">
        <f>Calc!C52</f>
        <v>South</v>
      </c>
      <c r="E47" s="16">
        <f>Calc!D52</f>
        <v>180039.29999999993</v>
      </c>
      <c r="F47" s="16">
        <f>Calc!E52</f>
        <v>197000</v>
      </c>
      <c r="G47" s="17">
        <f>Calc!F52</f>
        <v>0.91390507614213168</v>
      </c>
      <c r="I47" s="15" t="str">
        <f>Calc!A25</f>
        <v>East</v>
      </c>
      <c r="J47" s="16">
        <f>Calc!B25</f>
        <v>309096.52000000008</v>
      </c>
      <c r="K47" s="16">
        <f>Calc!C25</f>
        <v>172410.76999999993</v>
      </c>
      <c r="L47" s="17">
        <f>Calc!D25</f>
        <v>0.55778942448138813</v>
      </c>
      <c r="M47" s="17">
        <f>Calc!F25</f>
        <v>1.0658500689655175</v>
      </c>
    </row>
    <row r="48" spans="2:13" x14ac:dyDescent="0.35">
      <c r="B48" s="14">
        <f>Calc!A53</f>
        <v>4</v>
      </c>
      <c r="C48" s="15" t="str">
        <f>Calc!B53</f>
        <v>Maya Lopez</v>
      </c>
      <c r="D48" s="15" t="str">
        <f>Calc!C53</f>
        <v>West</v>
      </c>
      <c r="E48" s="16">
        <f>Calc!D53</f>
        <v>177332.07999999996</v>
      </c>
      <c r="F48" s="16">
        <f>Calc!E53</f>
        <v>183000</v>
      </c>
      <c r="G48" s="17">
        <f>Calc!F53</f>
        <v>0.96902775956284126</v>
      </c>
      <c r="I48" s="15" t="str">
        <f>Calc!A26</f>
        <v>West</v>
      </c>
      <c r="J48" s="16">
        <f>Calc!B26</f>
        <v>384889.53000000014</v>
      </c>
      <c r="K48" s="16">
        <f>Calc!C26</f>
        <v>218295.52000000002</v>
      </c>
      <c r="L48" s="17">
        <f>Calc!D26</f>
        <v>0.56716408991431888</v>
      </c>
      <c r="M48" s="17">
        <f>Calc!F26</f>
        <v>0.93647087591240907</v>
      </c>
    </row>
    <row r="49" spans="2:13" x14ac:dyDescent="0.35">
      <c r="B49" s="14">
        <f>Calc!A54</f>
        <v>5</v>
      </c>
      <c r="C49" s="15" t="str">
        <f>Calc!B54</f>
        <v>Omar Haddad</v>
      </c>
      <c r="D49" s="15" t="str">
        <f>Calc!C54</f>
        <v>South</v>
      </c>
      <c r="E49" s="16">
        <f>Calc!D54</f>
        <v>172930.65999999992</v>
      </c>
      <c r="F49" s="16">
        <f>Calc!E54</f>
        <v>167000</v>
      </c>
      <c r="G49" s="17">
        <f>Calc!F54</f>
        <v>1.035512934131736</v>
      </c>
      <c r="I49" s="18" t="str">
        <f>Calc!A27</f>
        <v>Total</v>
      </c>
      <c r="J49" s="19">
        <f>Calc!B27</f>
        <v>1421593.08</v>
      </c>
      <c r="K49" s="19">
        <f>Calc!C27</f>
        <v>806835.72999999986</v>
      </c>
      <c r="L49" s="20">
        <f>Calc!D27</f>
        <v>0.56755744055816582</v>
      </c>
      <c r="M49" s="20">
        <f>Calc!F27</f>
        <v>0.96183564276048716</v>
      </c>
    </row>
    <row r="50" spans="2:13" x14ac:dyDescent="0.35">
      <c r="B50" s="14">
        <f>Calc!A55</f>
        <v>6</v>
      </c>
      <c r="C50" s="15" t="str">
        <f>Calc!B55</f>
        <v>Priya Nair</v>
      </c>
      <c r="D50" s="15" t="str">
        <f>Calc!C55</f>
        <v>East</v>
      </c>
      <c r="E50" s="16">
        <f>Calc!D55</f>
        <v>171053.24000000005</v>
      </c>
      <c r="F50" s="16">
        <f>Calc!E55</f>
        <v>186000</v>
      </c>
      <c r="G50" s="17">
        <f>Calc!F55</f>
        <v>0.91964107526881744</v>
      </c>
    </row>
    <row r="51" spans="2:13" x14ac:dyDescent="0.35">
      <c r="B51" s="14">
        <f>Calc!A56</f>
        <v>7</v>
      </c>
      <c r="C51" s="15" t="str">
        <f>Calc!B56</f>
        <v>Liam Carter</v>
      </c>
      <c r="D51" s="15" t="str">
        <f>Calc!C56</f>
        <v>North</v>
      </c>
      <c r="E51" s="16">
        <f>Calc!D56</f>
        <v>162405.76999999996</v>
      </c>
      <c r="F51" s="16">
        <f>Calc!E56</f>
        <v>160000</v>
      </c>
      <c r="G51" s="17">
        <f>Calc!F56</f>
        <v>1.0150360624999997</v>
      </c>
    </row>
    <row r="52" spans="2:13" x14ac:dyDescent="0.35">
      <c r="B52" s="14">
        <f>Calc!A57</f>
        <v>8</v>
      </c>
      <c r="C52" s="15" t="str">
        <f>Calc!B57</f>
        <v>Kenji Tanaka</v>
      </c>
      <c r="D52" s="15" t="str">
        <f>Calc!C57</f>
        <v>East</v>
      </c>
      <c r="E52" s="16">
        <f>Calc!D57</f>
        <v>138043.27999999997</v>
      </c>
      <c r="F52" s="16">
        <f>Calc!E57</f>
        <v>142000</v>
      </c>
      <c r="G52" s="17">
        <f>Calc!F57</f>
        <v>0.97213577464788714</v>
      </c>
    </row>
    <row r="54" spans="2:13" x14ac:dyDescent="0.35">
      <c r="B54" s="10" t="s">
        <v>21</v>
      </c>
    </row>
  </sheetData>
  <mergeCells count="21">
    <mergeCell ref="L7:M7"/>
    <mergeCell ref="B8:C8"/>
    <mergeCell ref="D8:E8"/>
    <mergeCell ref="F8:G8"/>
    <mergeCell ref="H8:I8"/>
    <mergeCell ref="J8:K8"/>
    <mergeCell ref="L8:M8"/>
    <mergeCell ref="B7:C7"/>
    <mergeCell ref="D7:E7"/>
    <mergeCell ref="F7:G7"/>
    <mergeCell ref="H7:I7"/>
    <mergeCell ref="J7:K7"/>
    <mergeCell ref="B1:M1"/>
    <mergeCell ref="B2:M2"/>
    <mergeCell ref="C4:D4"/>
    <mergeCell ref="B6:C6"/>
    <mergeCell ref="D6:E6"/>
    <mergeCell ref="F6:G6"/>
    <mergeCell ref="H6:I6"/>
    <mergeCell ref="J6:K6"/>
    <mergeCell ref="L6:M6"/>
  </mergeCells>
  <conditionalFormatting sqref="L7">
    <cfRule type="cellIs" dxfId="8" priority="2" operator="greaterThanOrEqual">
      <formula>1</formula>
    </cfRule>
    <cfRule type="cellIs" dxfId="7" priority="3" operator="between">
      <formula>0.9</formula>
      <formula>0.99999</formula>
    </cfRule>
    <cfRule type="cellIs" dxfId="6" priority="4" operator="lessThan">
      <formula>0.9</formula>
    </cfRule>
  </conditionalFormatting>
  <conditionalFormatting sqref="G45:G52">
    <cfRule type="cellIs" dxfId="5" priority="5" operator="greaterThanOrEqual">
      <formula>1</formula>
    </cfRule>
    <cfRule type="cellIs" dxfId="4" priority="6" operator="between">
      <formula>0.9</formula>
      <formula>0.99999</formula>
    </cfRule>
    <cfRule type="cellIs" dxfId="3" priority="7" operator="lessThan">
      <formula>0.9</formula>
    </cfRule>
  </conditionalFormatting>
  <conditionalFormatting sqref="M45:M49">
    <cfRule type="cellIs" dxfId="2" priority="8" operator="greaterThanOrEqual">
      <formula>1</formula>
    </cfRule>
    <cfRule type="cellIs" dxfId="1" priority="9" operator="between">
      <formula>0.9</formula>
      <formula>0.99999</formula>
    </cfRule>
    <cfRule type="cellIs" dxfId="0" priority="10" operator="lessThan">
      <formula>0.9</formula>
    </cfRule>
  </conditionalFormatting>
  <conditionalFormatting sqref="E45:E52">
    <cfRule type="dataBar" priority="11">
      <dataBar>
        <cfvo type="num" val="0"/>
        <cfvo type="max"/>
        <color rgb="FF9ED9D2"/>
      </dataBar>
      <extLst>
        <ext xmlns:x14="http://schemas.microsoft.com/office/spreadsheetml/2009/9/main" uri="{B025F937-C7B1-47D3-B67F-A62EFF666E3E}">
          <x14:id>{6C3BB045-2EC5-49E4-8F20-9150F0B214E4}</x14:id>
        </ext>
      </extLst>
    </cfRule>
  </conditionalFormatting>
  <dataValidations count="1">
    <dataValidation type="list" errorTitle="Invalid region" error="Pick a region from the list" sqref="C4" xr:uid="{00000000-0002-0000-0000-000000000000}">
      <formula1>"All,North,South,East,West"</formula1>
      <formula2>0</formula2>
    </dataValidation>
  </dataValidations>
  <pageMargins left="0.75" right="0.75" top="1" bottom="1" header="0.511811023622047" footer="0.511811023622047"/>
  <pageSetup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3BB045-2EC5-49E4-8F20-9150F0B214E4}">
            <x14:dataBar axisPosition="none">
              <x14:cfvo type="num">
                <xm:f>0</xm:f>
              </x14:cfvo>
              <x14:cfvo type="max"/>
              <x14:negativeFillColor rgb="FF9ED9D2"/>
            </x14:dataBar>
          </x14:cfRule>
          <xm:sqref>E45:E52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B7280"/>
  </sheetPr>
  <dimension ref="A1:J37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12" customWidth="1"/>
    <col min="2" max="2" width="11" customWidth="1"/>
    <col min="3" max="3" width="10" customWidth="1"/>
    <col min="4" max="4" width="16" customWidth="1"/>
    <col min="5" max="5" width="13" customWidth="1"/>
    <col min="6" max="6" width="8" customWidth="1"/>
    <col min="7" max="10" width="13" customWidth="1"/>
  </cols>
  <sheetData>
    <row r="1" spans="1:10" ht="27.75" customHeight="1" x14ac:dyDescent="0.35">
      <c r="A1" s="21" t="s">
        <v>22</v>
      </c>
      <c r="B1" s="21" t="s">
        <v>23</v>
      </c>
      <c r="C1" s="21" t="s">
        <v>14</v>
      </c>
      <c r="D1" s="21" t="s">
        <v>24</v>
      </c>
      <c r="E1" s="21" t="s">
        <v>25</v>
      </c>
      <c r="F1" s="21" t="s">
        <v>26</v>
      </c>
      <c r="G1" s="21" t="s">
        <v>27</v>
      </c>
      <c r="H1" s="21" t="s">
        <v>28</v>
      </c>
      <c r="I1" s="21" t="s">
        <v>29</v>
      </c>
      <c r="J1" s="21" t="s">
        <v>30</v>
      </c>
    </row>
    <row r="2" spans="1:10" x14ac:dyDescent="0.35">
      <c r="A2" s="22">
        <v>45933</v>
      </c>
      <c r="B2" s="23" t="s">
        <v>31</v>
      </c>
      <c r="C2" s="23" t="s">
        <v>32</v>
      </c>
      <c r="D2" s="23" t="s">
        <v>33</v>
      </c>
      <c r="E2" s="23" t="s">
        <v>34</v>
      </c>
      <c r="F2" s="23">
        <v>34</v>
      </c>
      <c r="G2" s="24">
        <v>61.39</v>
      </c>
      <c r="H2" s="24">
        <v>34.99</v>
      </c>
      <c r="I2" s="25">
        <f t="shared" ref="I2:I65" si="0">F2*G2</f>
        <v>2087.2600000000002</v>
      </c>
      <c r="J2" s="25">
        <f t="shared" ref="J2:J65" si="1">I2-F2*H2</f>
        <v>897.60000000000014</v>
      </c>
    </row>
    <row r="3" spans="1:10" x14ac:dyDescent="0.35">
      <c r="A3" s="22">
        <v>45933</v>
      </c>
      <c r="B3" s="23" t="s">
        <v>35</v>
      </c>
      <c r="C3" s="23" t="s">
        <v>36</v>
      </c>
      <c r="D3" s="23" t="s">
        <v>37</v>
      </c>
      <c r="E3" s="23" t="s">
        <v>34</v>
      </c>
      <c r="F3" s="23">
        <v>64</v>
      </c>
      <c r="G3" s="24">
        <v>26.46</v>
      </c>
      <c r="H3" s="24">
        <v>14.06</v>
      </c>
      <c r="I3" s="25">
        <f t="shared" si="0"/>
        <v>1693.44</v>
      </c>
      <c r="J3" s="25">
        <f t="shared" si="1"/>
        <v>793.6</v>
      </c>
    </row>
    <row r="4" spans="1:10" x14ac:dyDescent="0.35">
      <c r="A4" s="22">
        <v>45934</v>
      </c>
      <c r="B4" s="23" t="s">
        <v>38</v>
      </c>
      <c r="C4" s="23" t="s">
        <v>36</v>
      </c>
      <c r="D4" s="23" t="s">
        <v>39</v>
      </c>
      <c r="E4" s="23" t="s">
        <v>40</v>
      </c>
      <c r="F4" s="23">
        <v>9</v>
      </c>
      <c r="G4" s="24">
        <v>164.3</v>
      </c>
      <c r="H4" s="24">
        <v>70.930000000000007</v>
      </c>
      <c r="I4" s="25">
        <f t="shared" si="0"/>
        <v>1478.7</v>
      </c>
      <c r="J4" s="25">
        <f t="shared" si="1"/>
        <v>840.32999999999993</v>
      </c>
    </row>
    <row r="5" spans="1:10" x14ac:dyDescent="0.35">
      <c r="A5" s="22">
        <v>45934</v>
      </c>
      <c r="B5" s="23" t="s">
        <v>41</v>
      </c>
      <c r="C5" s="23" t="s">
        <v>36</v>
      </c>
      <c r="D5" s="23" t="s">
        <v>39</v>
      </c>
      <c r="E5" s="23" t="s">
        <v>42</v>
      </c>
      <c r="F5" s="23">
        <v>21</v>
      </c>
      <c r="G5" s="24">
        <v>158.97999999999999</v>
      </c>
      <c r="H5" s="24">
        <v>34.43</v>
      </c>
      <c r="I5" s="25">
        <f t="shared" si="0"/>
        <v>3338.58</v>
      </c>
      <c r="J5" s="25">
        <f t="shared" si="1"/>
        <v>2615.5500000000002</v>
      </c>
    </row>
    <row r="6" spans="1:10" x14ac:dyDescent="0.35">
      <c r="A6" s="22">
        <v>45935</v>
      </c>
      <c r="B6" s="23" t="s">
        <v>43</v>
      </c>
      <c r="C6" s="23" t="s">
        <v>44</v>
      </c>
      <c r="D6" s="23" t="s">
        <v>45</v>
      </c>
      <c r="E6" s="23" t="s">
        <v>40</v>
      </c>
      <c r="F6" s="23">
        <v>15</v>
      </c>
      <c r="G6" s="24">
        <v>392.54</v>
      </c>
      <c r="H6" s="24">
        <v>181.01</v>
      </c>
      <c r="I6" s="25">
        <f t="shared" si="0"/>
        <v>5888.1</v>
      </c>
      <c r="J6" s="25">
        <f t="shared" si="1"/>
        <v>3172.9500000000007</v>
      </c>
    </row>
    <row r="7" spans="1:10" x14ac:dyDescent="0.35">
      <c r="A7" s="22">
        <v>45936</v>
      </c>
      <c r="B7" s="23" t="s">
        <v>46</v>
      </c>
      <c r="C7" s="23" t="s">
        <v>32</v>
      </c>
      <c r="D7" s="23" t="s">
        <v>47</v>
      </c>
      <c r="E7" s="23" t="s">
        <v>42</v>
      </c>
      <c r="F7" s="23">
        <v>9</v>
      </c>
      <c r="G7" s="24">
        <v>227.44</v>
      </c>
      <c r="H7" s="24">
        <v>51.05</v>
      </c>
      <c r="I7" s="25">
        <f t="shared" si="0"/>
        <v>2046.96</v>
      </c>
      <c r="J7" s="25">
        <f t="shared" si="1"/>
        <v>1587.51</v>
      </c>
    </row>
    <row r="8" spans="1:10" x14ac:dyDescent="0.35">
      <c r="A8" s="22">
        <v>45937</v>
      </c>
      <c r="B8" s="23" t="s">
        <v>48</v>
      </c>
      <c r="C8" s="23" t="s">
        <v>49</v>
      </c>
      <c r="D8" s="23" t="s">
        <v>50</v>
      </c>
      <c r="E8" s="23" t="s">
        <v>42</v>
      </c>
      <c r="F8" s="23">
        <v>21</v>
      </c>
      <c r="G8" s="24">
        <v>281.2</v>
      </c>
      <c r="H8" s="24">
        <v>61.61</v>
      </c>
      <c r="I8" s="25">
        <f t="shared" si="0"/>
        <v>5905.2</v>
      </c>
      <c r="J8" s="25">
        <f t="shared" si="1"/>
        <v>4611.3899999999994</v>
      </c>
    </row>
    <row r="9" spans="1:10" x14ac:dyDescent="0.35">
      <c r="A9" s="22">
        <v>45938</v>
      </c>
      <c r="B9" s="23" t="s">
        <v>51</v>
      </c>
      <c r="C9" s="23" t="s">
        <v>49</v>
      </c>
      <c r="D9" s="23" t="s">
        <v>50</v>
      </c>
      <c r="E9" s="23" t="s">
        <v>40</v>
      </c>
      <c r="F9" s="23">
        <v>7</v>
      </c>
      <c r="G9" s="24">
        <v>514.24</v>
      </c>
      <c r="H9" s="24">
        <v>219.99</v>
      </c>
      <c r="I9" s="25">
        <f t="shared" si="0"/>
        <v>3599.6800000000003</v>
      </c>
      <c r="J9" s="25">
        <f t="shared" si="1"/>
        <v>2059.75</v>
      </c>
    </row>
    <row r="10" spans="1:10" x14ac:dyDescent="0.35">
      <c r="A10" s="22">
        <v>45947</v>
      </c>
      <c r="B10" s="23" t="s">
        <v>52</v>
      </c>
      <c r="C10" s="23" t="s">
        <v>36</v>
      </c>
      <c r="D10" s="23" t="s">
        <v>37</v>
      </c>
      <c r="E10" s="23" t="s">
        <v>40</v>
      </c>
      <c r="F10" s="23">
        <v>15</v>
      </c>
      <c r="G10" s="24">
        <v>472.21</v>
      </c>
      <c r="H10" s="24">
        <v>216.77</v>
      </c>
      <c r="I10" s="25">
        <f t="shared" si="0"/>
        <v>7083.15</v>
      </c>
      <c r="J10" s="25">
        <f t="shared" si="1"/>
        <v>3831.5999999999995</v>
      </c>
    </row>
    <row r="11" spans="1:10" x14ac:dyDescent="0.35">
      <c r="A11" s="22">
        <v>45948</v>
      </c>
      <c r="B11" s="23" t="s">
        <v>53</v>
      </c>
      <c r="C11" s="23" t="s">
        <v>36</v>
      </c>
      <c r="D11" s="23" t="s">
        <v>37</v>
      </c>
      <c r="E11" s="23" t="s">
        <v>40</v>
      </c>
      <c r="F11" s="23">
        <v>10</v>
      </c>
      <c r="G11" s="24">
        <v>201.55</v>
      </c>
      <c r="H11" s="24">
        <v>94.19</v>
      </c>
      <c r="I11" s="25">
        <f t="shared" si="0"/>
        <v>2015.5</v>
      </c>
      <c r="J11" s="25">
        <f t="shared" si="1"/>
        <v>1073.5999999999999</v>
      </c>
    </row>
    <row r="12" spans="1:10" x14ac:dyDescent="0.35">
      <c r="A12" s="22">
        <v>45949</v>
      </c>
      <c r="B12" s="23" t="s">
        <v>54</v>
      </c>
      <c r="C12" s="23" t="s">
        <v>49</v>
      </c>
      <c r="D12" s="23" t="s">
        <v>55</v>
      </c>
      <c r="E12" s="23" t="s">
        <v>42</v>
      </c>
      <c r="F12" s="23">
        <v>36</v>
      </c>
      <c r="G12" s="24">
        <v>299.41000000000003</v>
      </c>
      <c r="H12" s="24">
        <v>63.49</v>
      </c>
      <c r="I12" s="25">
        <f t="shared" si="0"/>
        <v>10778.76</v>
      </c>
      <c r="J12" s="25">
        <f t="shared" si="1"/>
        <v>8493.1200000000008</v>
      </c>
    </row>
    <row r="13" spans="1:10" x14ac:dyDescent="0.35">
      <c r="A13" s="22">
        <v>45950</v>
      </c>
      <c r="B13" s="23" t="s">
        <v>56</v>
      </c>
      <c r="C13" s="23" t="s">
        <v>44</v>
      </c>
      <c r="D13" s="23" t="s">
        <v>57</v>
      </c>
      <c r="E13" s="23" t="s">
        <v>42</v>
      </c>
      <c r="F13" s="23">
        <v>22</v>
      </c>
      <c r="G13" s="24">
        <v>133.86000000000001</v>
      </c>
      <c r="H13" s="24">
        <v>29.34</v>
      </c>
      <c r="I13" s="25">
        <f t="shared" si="0"/>
        <v>2944.92</v>
      </c>
      <c r="J13" s="25">
        <f t="shared" si="1"/>
        <v>2299.44</v>
      </c>
    </row>
    <row r="14" spans="1:10" x14ac:dyDescent="0.35">
      <c r="A14" s="22">
        <v>45950</v>
      </c>
      <c r="B14" s="23" t="s">
        <v>58</v>
      </c>
      <c r="C14" s="23" t="s">
        <v>36</v>
      </c>
      <c r="D14" s="23" t="s">
        <v>39</v>
      </c>
      <c r="E14" s="23" t="s">
        <v>42</v>
      </c>
      <c r="F14" s="23">
        <v>21</v>
      </c>
      <c r="G14" s="24">
        <v>211.1</v>
      </c>
      <c r="H14" s="24">
        <v>46.29</v>
      </c>
      <c r="I14" s="25">
        <f t="shared" si="0"/>
        <v>4433.0999999999995</v>
      </c>
      <c r="J14" s="25">
        <f t="shared" si="1"/>
        <v>3461.0099999999993</v>
      </c>
    </row>
    <row r="15" spans="1:10" x14ac:dyDescent="0.35">
      <c r="A15" s="22">
        <v>45950</v>
      </c>
      <c r="B15" s="23" t="s">
        <v>59</v>
      </c>
      <c r="C15" s="23" t="s">
        <v>32</v>
      </c>
      <c r="D15" s="23" t="s">
        <v>47</v>
      </c>
      <c r="E15" s="23" t="s">
        <v>42</v>
      </c>
      <c r="F15" s="23">
        <v>24</v>
      </c>
      <c r="G15" s="24">
        <v>104.61</v>
      </c>
      <c r="H15" s="24">
        <v>22.7</v>
      </c>
      <c r="I15" s="25">
        <f t="shared" si="0"/>
        <v>2510.64</v>
      </c>
      <c r="J15" s="25">
        <f t="shared" si="1"/>
        <v>1965.84</v>
      </c>
    </row>
    <row r="16" spans="1:10" x14ac:dyDescent="0.35">
      <c r="A16" s="22">
        <v>45951</v>
      </c>
      <c r="B16" s="23" t="s">
        <v>60</v>
      </c>
      <c r="C16" s="23" t="s">
        <v>36</v>
      </c>
      <c r="D16" s="23" t="s">
        <v>39</v>
      </c>
      <c r="E16" s="23" t="s">
        <v>61</v>
      </c>
      <c r="F16" s="23">
        <v>12</v>
      </c>
      <c r="G16" s="24">
        <v>428.77</v>
      </c>
      <c r="H16" s="24">
        <v>283.49</v>
      </c>
      <c r="I16" s="25">
        <f t="shared" si="0"/>
        <v>5145.24</v>
      </c>
      <c r="J16" s="25">
        <f t="shared" si="1"/>
        <v>1743.3599999999997</v>
      </c>
    </row>
    <row r="17" spans="1:10" x14ac:dyDescent="0.35">
      <c r="A17" s="22">
        <v>45951</v>
      </c>
      <c r="B17" s="23" t="s">
        <v>62</v>
      </c>
      <c r="C17" s="23" t="s">
        <v>44</v>
      </c>
      <c r="D17" s="23" t="s">
        <v>45</v>
      </c>
      <c r="E17" s="23" t="s">
        <v>40</v>
      </c>
      <c r="F17" s="23">
        <v>9</v>
      </c>
      <c r="G17" s="24">
        <v>529.28</v>
      </c>
      <c r="H17" s="24">
        <v>244.75</v>
      </c>
      <c r="I17" s="25">
        <f t="shared" si="0"/>
        <v>4763.5199999999995</v>
      </c>
      <c r="J17" s="25">
        <f t="shared" si="1"/>
        <v>2560.7699999999995</v>
      </c>
    </row>
    <row r="18" spans="1:10" x14ac:dyDescent="0.35">
      <c r="A18" s="22">
        <v>45953</v>
      </c>
      <c r="B18" s="23" t="s">
        <v>63</v>
      </c>
      <c r="C18" s="23" t="s">
        <v>49</v>
      </c>
      <c r="D18" s="23" t="s">
        <v>55</v>
      </c>
      <c r="E18" s="23" t="s">
        <v>42</v>
      </c>
      <c r="F18" s="23">
        <v>26</v>
      </c>
      <c r="G18" s="24">
        <v>114.21</v>
      </c>
      <c r="H18" s="24">
        <v>26.28</v>
      </c>
      <c r="I18" s="25">
        <f t="shared" si="0"/>
        <v>2969.46</v>
      </c>
      <c r="J18" s="25">
        <f t="shared" si="1"/>
        <v>2286.1800000000003</v>
      </c>
    </row>
    <row r="19" spans="1:10" x14ac:dyDescent="0.35">
      <c r="A19" s="22">
        <v>45953</v>
      </c>
      <c r="B19" s="23" t="s">
        <v>64</v>
      </c>
      <c r="C19" s="23" t="s">
        <v>36</v>
      </c>
      <c r="D19" s="23" t="s">
        <v>39</v>
      </c>
      <c r="E19" s="23" t="s">
        <v>61</v>
      </c>
      <c r="F19" s="23">
        <v>2</v>
      </c>
      <c r="G19" s="24">
        <v>398.13</v>
      </c>
      <c r="H19" s="24">
        <v>265.02999999999997</v>
      </c>
      <c r="I19" s="25">
        <f t="shared" si="0"/>
        <v>796.26</v>
      </c>
      <c r="J19" s="25">
        <f t="shared" si="1"/>
        <v>266.20000000000005</v>
      </c>
    </row>
    <row r="20" spans="1:10" x14ac:dyDescent="0.35">
      <c r="A20" s="22">
        <v>45954</v>
      </c>
      <c r="B20" s="23" t="s">
        <v>65</v>
      </c>
      <c r="C20" s="23" t="s">
        <v>32</v>
      </c>
      <c r="D20" s="23" t="s">
        <v>33</v>
      </c>
      <c r="E20" s="23" t="s">
        <v>34</v>
      </c>
      <c r="F20" s="23">
        <v>23</v>
      </c>
      <c r="G20" s="24">
        <v>72.150000000000006</v>
      </c>
      <c r="H20" s="24">
        <v>39.71</v>
      </c>
      <c r="I20" s="25">
        <f t="shared" si="0"/>
        <v>1659.45</v>
      </c>
      <c r="J20" s="25">
        <f t="shared" si="1"/>
        <v>746.12</v>
      </c>
    </row>
    <row r="21" spans="1:10" x14ac:dyDescent="0.35">
      <c r="A21" s="22">
        <v>45955</v>
      </c>
      <c r="B21" s="23" t="s">
        <v>66</v>
      </c>
      <c r="C21" s="23" t="s">
        <v>32</v>
      </c>
      <c r="D21" s="23" t="s">
        <v>47</v>
      </c>
      <c r="E21" s="23" t="s">
        <v>61</v>
      </c>
      <c r="F21" s="23">
        <v>12</v>
      </c>
      <c r="G21" s="24">
        <v>532.6</v>
      </c>
      <c r="H21" s="24">
        <v>360.49</v>
      </c>
      <c r="I21" s="25">
        <f t="shared" si="0"/>
        <v>6391.2000000000007</v>
      </c>
      <c r="J21" s="25">
        <f t="shared" si="1"/>
        <v>2065.3200000000006</v>
      </c>
    </row>
    <row r="22" spans="1:10" x14ac:dyDescent="0.35">
      <c r="A22" s="22">
        <v>45955</v>
      </c>
      <c r="B22" s="23" t="s">
        <v>67</v>
      </c>
      <c r="C22" s="23" t="s">
        <v>44</v>
      </c>
      <c r="D22" s="23" t="s">
        <v>57</v>
      </c>
      <c r="E22" s="23" t="s">
        <v>42</v>
      </c>
      <c r="F22" s="23">
        <v>5</v>
      </c>
      <c r="G22" s="24">
        <v>251.3</v>
      </c>
      <c r="H22" s="24">
        <v>55.45</v>
      </c>
      <c r="I22" s="25">
        <f t="shared" si="0"/>
        <v>1256.5</v>
      </c>
      <c r="J22" s="25">
        <f t="shared" si="1"/>
        <v>979.25</v>
      </c>
    </row>
    <row r="23" spans="1:10" x14ac:dyDescent="0.35">
      <c r="A23" s="22">
        <v>45956</v>
      </c>
      <c r="B23" s="23" t="s">
        <v>68</v>
      </c>
      <c r="C23" s="23" t="s">
        <v>36</v>
      </c>
      <c r="D23" s="23" t="s">
        <v>37</v>
      </c>
      <c r="E23" s="23" t="s">
        <v>40</v>
      </c>
      <c r="F23" s="23">
        <v>14</v>
      </c>
      <c r="G23" s="24">
        <v>391.3</v>
      </c>
      <c r="H23" s="24">
        <v>184.42</v>
      </c>
      <c r="I23" s="25">
        <f t="shared" si="0"/>
        <v>5478.2</v>
      </c>
      <c r="J23" s="25">
        <f t="shared" si="1"/>
        <v>2896.32</v>
      </c>
    </row>
    <row r="24" spans="1:10" x14ac:dyDescent="0.35">
      <c r="A24" s="22">
        <v>45957</v>
      </c>
      <c r="B24" s="23" t="s">
        <v>69</v>
      </c>
      <c r="C24" s="23" t="s">
        <v>36</v>
      </c>
      <c r="D24" s="23" t="s">
        <v>37</v>
      </c>
      <c r="E24" s="23" t="s">
        <v>34</v>
      </c>
      <c r="F24" s="23">
        <v>50</v>
      </c>
      <c r="G24" s="24">
        <v>45.09</v>
      </c>
      <c r="H24" s="24">
        <v>23.72</v>
      </c>
      <c r="I24" s="25">
        <f t="shared" si="0"/>
        <v>2254.5</v>
      </c>
      <c r="J24" s="25">
        <f t="shared" si="1"/>
        <v>1068.5</v>
      </c>
    </row>
    <row r="25" spans="1:10" x14ac:dyDescent="0.35">
      <c r="A25" s="22">
        <v>45958</v>
      </c>
      <c r="B25" s="23" t="s">
        <v>70</v>
      </c>
      <c r="C25" s="23" t="s">
        <v>44</v>
      </c>
      <c r="D25" s="23" t="s">
        <v>45</v>
      </c>
      <c r="E25" s="23" t="s">
        <v>34</v>
      </c>
      <c r="F25" s="23">
        <v>56</v>
      </c>
      <c r="G25" s="24">
        <v>43.51</v>
      </c>
      <c r="H25" s="24">
        <v>23.82</v>
      </c>
      <c r="I25" s="25">
        <f t="shared" si="0"/>
        <v>2436.56</v>
      </c>
      <c r="J25" s="25">
        <f t="shared" si="1"/>
        <v>1102.6399999999999</v>
      </c>
    </row>
    <row r="26" spans="1:10" x14ac:dyDescent="0.35">
      <c r="A26" s="22">
        <v>45958</v>
      </c>
      <c r="B26" s="23" t="s">
        <v>71</v>
      </c>
      <c r="C26" s="23" t="s">
        <v>32</v>
      </c>
      <c r="D26" s="23" t="s">
        <v>33</v>
      </c>
      <c r="E26" s="23" t="s">
        <v>34</v>
      </c>
      <c r="F26" s="23">
        <v>57</v>
      </c>
      <c r="G26" s="24">
        <v>53.07</v>
      </c>
      <c r="H26" s="24">
        <v>28.31</v>
      </c>
      <c r="I26" s="25">
        <f t="shared" si="0"/>
        <v>3024.9900000000002</v>
      </c>
      <c r="J26" s="25">
        <f t="shared" si="1"/>
        <v>1411.3200000000004</v>
      </c>
    </row>
    <row r="27" spans="1:10" x14ac:dyDescent="0.35">
      <c r="A27" s="22">
        <v>45963</v>
      </c>
      <c r="B27" s="23" t="s">
        <v>72</v>
      </c>
      <c r="C27" s="23" t="s">
        <v>44</v>
      </c>
      <c r="D27" s="23" t="s">
        <v>57</v>
      </c>
      <c r="E27" s="23" t="s">
        <v>42</v>
      </c>
      <c r="F27" s="23">
        <v>34</v>
      </c>
      <c r="G27" s="24">
        <v>296.77</v>
      </c>
      <c r="H27" s="24">
        <v>63.76</v>
      </c>
      <c r="I27" s="25">
        <f t="shared" si="0"/>
        <v>10090.18</v>
      </c>
      <c r="J27" s="25">
        <f t="shared" si="1"/>
        <v>7922.34</v>
      </c>
    </row>
    <row r="28" spans="1:10" x14ac:dyDescent="0.35">
      <c r="A28" s="22">
        <v>45963</v>
      </c>
      <c r="B28" s="23" t="s">
        <v>73</v>
      </c>
      <c r="C28" s="23" t="s">
        <v>32</v>
      </c>
      <c r="D28" s="23" t="s">
        <v>47</v>
      </c>
      <c r="E28" s="23" t="s">
        <v>61</v>
      </c>
      <c r="F28" s="23">
        <v>9</v>
      </c>
      <c r="G28" s="24">
        <v>629.72</v>
      </c>
      <c r="H28" s="24">
        <v>428.33</v>
      </c>
      <c r="I28" s="25">
        <f t="shared" si="0"/>
        <v>5667.4800000000005</v>
      </c>
      <c r="J28" s="25">
        <f t="shared" si="1"/>
        <v>1812.5100000000007</v>
      </c>
    </row>
    <row r="29" spans="1:10" x14ac:dyDescent="0.35">
      <c r="A29" s="22">
        <v>45964</v>
      </c>
      <c r="B29" s="23" t="s">
        <v>74</v>
      </c>
      <c r="C29" s="23" t="s">
        <v>44</v>
      </c>
      <c r="D29" s="23" t="s">
        <v>45</v>
      </c>
      <c r="E29" s="23" t="s">
        <v>42</v>
      </c>
      <c r="F29" s="23">
        <v>9</v>
      </c>
      <c r="G29" s="24">
        <v>109.14</v>
      </c>
      <c r="H29" s="24">
        <v>23.65</v>
      </c>
      <c r="I29" s="25">
        <f t="shared" si="0"/>
        <v>982.26</v>
      </c>
      <c r="J29" s="25">
        <f t="shared" si="1"/>
        <v>769.41</v>
      </c>
    </row>
    <row r="30" spans="1:10" x14ac:dyDescent="0.35">
      <c r="A30" s="22">
        <v>45965</v>
      </c>
      <c r="B30" s="23" t="s">
        <v>75</v>
      </c>
      <c r="C30" s="23" t="s">
        <v>49</v>
      </c>
      <c r="D30" s="23" t="s">
        <v>55</v>
      </c>
      <c r="E30" s="23" t="s">
        <v>42</v>
      </c>
      <c r="F30" s="23">
        <v>8</v>
      </c>
      <c r="G30" s="24">
        <v>170.44</v>
      </c>
      <c r="H30" s="24">
        <v>38.86</v>
      </c>
      <c r="I30" s="25">
        <f t="shared" si="0"/>
        <v>1363.52</v>
      </c>
      <c r="J30" s="25">
        <f t="shared" si="1"/>
        <v>1052.6399999999999</v>
      </c>
    </row>
    <row r="31" spans="1:10" x14ac:dyDescent="0.35">
      <c r="A31" s="22">
        <v>45965</v>
      </c>
      <c r="B31" s="23" t="s">
        <v>76</v>
      </c>
      <c r="C31" s="23" t="s">
        <v>36</v>
      </c>
      <c r="D31" s="23" t="s">
        <v>37</v>
      </c>
      <c r="E31" s="23" t="s">
        <v>40</v>
      </c>
      <c r="F31" s="23">
        <v>4</v>
      </c>
      <c r="G31" s="24">
        <v>393.26</v>
      </c>
      <c r="H31" s="24">
        <v>168.38</v>
      </c>
      <c r="I31" s="25">
        <f t="shared" si="0"/>
        <v>1573.04</v>
      </c>
      <c r="J31" s="25">
        <f t="shared" si="1"/>
        <v>899.52</v>
      </c>
    </row>
    <row r="32" spans="1:10" x14ac:dyDescent="0.35">
      <c r="A32" s="22">
        <v>45966</v>
      </c>
      <c r="B32" s="23" t="s">
        <v>77</v>
      </c>
      <c r="C32" s="23" t="s">
        <v>44</v>
      </c>
      <c r="D32" s="23" t="s">
        <v>45</v>
      </c>
      <c r="E32" s="23" t="s">
        <v>42</v>
      </c>
      <c r="F32" s="23">
        <v>39</v>
      </c>
      <c r="G32" s="24">
        <v>293.12</v>
      </c>
      <c r="H32" s="24">
        <v>65</v>
      </c>
      <c r="I32" s="25">
        <f t="shared" si="0"/>
        <v>11431.68</v>
      </c>
      <c r="J32" s="25">
        <f t="shared" si="1"/>
        <v>8896.68</v>
      </c>
    </row>
    <row r="33" spans="1:10" x14ac:dyDescent="0.35">
      <c r="A33" s="22">
        <v>45966</v>
      </c>
      <c r="B33" s="23" t="s">
        <v>78</v>
      </c>
      <c r="C33" s="23" t="s">
        <v>32</v>
      </c>
      <c r="D33" s="23" t="s">
        <v>33</v>
      </c>
      <c r="E33" s="23" t="s">
        <v>61</v>
      </c>
      <c r="F33" s="23">
        <v>5</v>
      </c>
      <c r="G33" s="24">
        <v>319.57</v>
      </c>
      <c r="H33" s="24">
        <v>218.46</v>
      </c>
      <c r="I33" s="25">
        <f t="shared" si="0"/>
        <v>1597.85</v>
      </c>
      <c r="J33" s="25">
        <f t="shared" si="1"/>
        <v>505.54999999999995</v>
      </c>
    </row>
    <row r="34" spans="1:10" x14ac:dyDescent="0.35">
      <c r="A34" s="22">
        <v>45967</v>
      </c>
      <c r="B34" s="23" t="s">
        <v>79</v>
      </c>
      <c r="C34" s="23" t="s">
        <v>36</v>
      </c>
      <c r="D34" s="23" t="s">
        <v>37</v>
      </c>
      <c r="E34" s="23" t="s">
        <v>34</v>
      </c>
      <c r="F34" s="23">
        <v>18</v>
      </c>
      <c r="G34" s="24">
        <v>21.01</v>
      </c>
      <c r="H34" s="24">
        <v>11.19</v>
      </c>
      <c r="I34" s="25">
        <f t="shared" si="0"/>
        <v>378.18</v>
      </c>
      <c r="J34" s="25">
        <f t="shared" si="1"/>
        <v>176.76000000000002</v>
      </c>
    </row>
    <row r="35" spans="1:10" x14ac:dyDescent="0.35">
      <c r="A35" s="22">
        <v>45968</v>
      </c>
      <c r="B35" s="23" t="s">
        <v>80</v>
      </c>
      <c r="C35" s="23" t="s">
        <v>32</v>
      </c>
      <c r="D35" s="23" t="s">
        <v>47</v>
      </c>
      <c r="E35" s="23" t="s">
        <v>61</v>
      </c>
      <c r="F35" s="23">
        <v>5</v>
      </c>
      <c r="G35" s="24">
        <v>507.26</v>
      </c>
      <c r="H35" s="24">
        <v>350.86</v>
      </c>
      <c r="I35" s="25">
        <f t="shared" si="0"/>
        <v>2536.3000000000002</v>
      </c>
      <c r="J35" s="25">
        <f t="shared" si="1"/>
        <v>782</v>
      </c>
    </row>
    <row r="36" spans="1:10" x14ac:dyDescent="0.35">
      <c r="A36" s="22">
        <v>45969</v>
      </c>
      <c r="B36" s="23" t="s">
        <v>81</v>
      </c>
      <c r="C36" s="23" t="s">
        <v>36</v>
      </c>
      <c r="D36" s="23" t="s">
        <v>37</v>
      </c>
      <c r="E36" s="23" t="s">
        <v>61</v>
      </c>
      <c r="F36" s="23">
        <v>12</v>
      </c>
      <c r="G36" s="24">
        <v>618.78</v>
      </c>
      <c r="H36" s="24">
        <v>403.05</v>
      </c>
      <c r="I36" s="25">
        <f t="shared" si="0"/>
        <v>7425.36</v>
      </c>
      <c r="J36" s="25">
        <f t="shared" si="1"/>
        <v>2588.7599999999993</v>
      </c>
    </row>
    <row r="37" spans="1:10" x14ac:dyDescent="0.35">
      <c r="A37" s="22">
        <v>45969</v>
      </c>
      <c r="B37" s="23" t="s">
        <v>82</v>
      </c>
      <c r="C37" s="23" t="s">
        <v>36</v>
      </c>
      <c r="D37" s="23" t="s">
        <v>39</v>
      </c>
      <c r="E37" s="23" t="s">
        <v>34</v>
      </c>
      <c r="F37" s="23">
        <v>40</v>
      </c>
      <c r="G37" s="24">
        <v>79.47</v>
      </c>
      <c r="H37" s="24">
        <v>41.83</v>
      </c>
      <c r="I37" s="25">
        <f t="shared" si="0"/>
        <v>3178.8</v>
      </c>
      <c r="J37" s="25">
        <f t="shared" si="1"/>
        <v>1505.6000000000004</v>
      </c>
    </row>
    <row r="38" spans="1:10" x14ac:dyDescent="0.35">
      <c r="A38" s="22">
        <v>45969</v>
      </c>
      <c r="B38" s="23" t="s">
        <v>83</v>
      </c>
      <c r="C38" s="23" t="s">
        <v>44</v>
      </c>
      <c r="D38" s="23" t="s">
        <v>45</v>
      </c>
      <c r="E38" s="23" t="s">
        <v>61</v>
      </c>
      <c r="F38" s="23">
        <v>5</v>
      </c>
      <c r="G38" s="24">
        <v>541.6</v>
      </c>
      <c r="H38" s="24">
        <v>365.41</v>
      </c>
      <c r="I38" s="25">
        <f t="shared" si="0"/>
        <v>2708</v>
      </c>
      <c r="J38" s="25">
        <f t="shared" si="1"/>
        <v>880.94999999999982</v>
      </c>
    </row>
    <row r="39" spans="1:10" x14ac:dyDescent="0.35">
      <c r="A39" s="22">
        <v>45969</v>
      </c>
      <c r="B39" s="23" t="s">
        <v>84</v>
      </c>
      <c r="C39" s="23" t="s">
        <v>32</v>
      </c>
      <c r="D39" s="23" t="s">
        <v>47</v>
      </c>
      <c r="E39" s="23" t="s">
        <v>42</v>
      </c>
      <c r="F39" s="23">
        <v>24</v>
      </c>
      <c r="G39" s="24">
        <v>176.4</v>
      </c>
      <c r="H39" s="24">
        <v>38.979999999999997</v>
      </c>
      <c r="I39" s="25">
        <f t="shared" si="0"/>
        <v>4233.6000000000004</v>
      </c>
      <c r="J39" s="25">
        <f t="shared" si="1"/>
        <v>3298.0800000000004</v>
      </c>
    </row>
    <row r="40" spans="1:10" x14ac:dyDescent="0.35">
      <c r="A40" s="22">
        <v>45970</v>
      </c>
      <c r="B40" s="23" t="s">
        <v>85</v>
      </c>
      <c r="C40" s="23" t="s">
        <v>49</v>
      </c>
      <c r="D40" s="23" t="s">
        <v>50</v>
      </c>
      <c r="E40" s="23" t="s">
        <v>61</v>
      </c>
      <c r="F40" s="23">
        <v>10</v>
      </c>
      <c r="G40" s="24">
        <v>336</v>
      </c>
      <c r="H40" s="24">
        <v>238.43</v>
      </c>
      <c r="I40" s="25">
        <f t="shared" si="0"/>
        <v>3360</v>
      </c>
      <c r="J40" s="25">
        <f t="shared" si="1"/>
        <v>975.69999999999982</v>
      </c>
    </row>
    <row r="41" spans="1:10" x14ac:dyDescent="0.35">
      <c r="A41" s="22">
        <v>45971</v>
      </c>
      <c r="B41" s="23" t="s">
        <v>86</v>
      </c>
      <c r="C41" s="23" t="s">
        <v>49</v>
      </c>
      <c r="D41" s="23" t="s">
        <v>55</v>
      </c>
      <c r="E41" s="23" t="s">
        <v>40</v>
      </c>
      <c r="F41" s="23">
        <v>17</v>
      </c>
      <c r="G41" s="24">
        <v>478.73</v>
      </c>
      <c r="H41" s="24">
        <v>221.53</v>
      </c>
      <c r="I41" s="25">
        <f t="shared" si="0"/>
        <v>8138.41</v>
      </c>
      <c r="J41" s="25">
        <f t="shared" si="1"/>
        <v>4372.3999999999996</v>
      </c>
    </row>
    <row r="42" spans="1:10" x14ac:dyDescent="0.35">
      <c r="A42" s="22">
        <v>45976</v>
      </c>
      <c r="B42" s="23" t="s">
        <v>87</v>
      </c>
      <c r="C42" s="23" t="s">
        <v>49</v>
      </c>
      <c r="D42" s="23" t="s">
        <v>50</v>
      </c>
      <c r="E42" s="23" t="s">
        <v>61</v>
      </c>
      <c r="F42" s="23">
        <v>10</v>
      </c>
      <c r="G42" s="24">
        <v>396.05</v>
      </c>
      <c r="H42" s="24">
        <v>264.95</v>
      </c>
      <c r="I42" s="25">
        <f t="shared" si="0"/>
        <v>3960.5</v>
      </c>
      <c r="J42" s="25">
        <f t="shared" si="1"/>
        <v>1311</v>
      </c>
    </row>
    <row r="43" spans="1:10" x14ac:dyDescent="0.35">
      <c r="A43" s="22">
        <v>45976</v>
      </c>
      <c r="B43" s="23" t="s">
        <v>88</v>
      </c>
      <c r="C43" s="23" t="s">
        <v>44</v>
      </c>
      <c r="D43" s="23" t="s">
        <v>45</v>
      </c>
      <c r="E43" s="23" t="s">
        <v>34</v>
      </c>
      <c r="F43" s="23">
        <v>80</v>
      </c>
      <c r="G43" s="24">
        <v>20.65</v>
      </c>
      <c r="H43" s="24">
        <v>11.71</v>
      </c>
      <c r="I43" s="25">
        <f t="shared" si="0"/>
        <v>1652</v>
      </c>
      <c r="J43" s="25">
        <f t="shared" si="1"/>
        <v>715.19999999999993</v>
      </c>
    </row>
    <row r="44" spans="1:10" x14ac:dyDescent="0.35">
      <c r="A44" s="22">
        <v>45976</v>
      </c>
      <c r="B44" s="23" t="s">
        <v>89</v>
      </c>
      <c r="C44" s="23" t="s">
        <v>32</v>
      </c>
      <c r="D44" s="23" t="s">
        <v>47</v>
      </c>
      <c r="E44" s="23" t="s">
        <v>34</v>
      </c>
      <c r="F44" s="23">
        <v>22</v>
      </c>
      <c r="G44" s="24">
        <v>85.18</v>
      </c>
      <c r="H44" s="24">
        <v>44.55</v>
      </c>
      <c r="I44" s="25">
        <f t="shared" si="0"/>
        <v>1873.96</v>
      </c>
      <c r="J44" s="25">
        <f t="shared" si="1"/>
        <v>893.86000000000013</v>
      </c>
    </row>
    <row r="45" spans="1:10" x14ac:dyDescent="0.35">
      <c r="A45" s="22">
        <v>45977</v>
      </c>
      <c r="B45" s="23" t="s">
        <v>90</v>
      </c>
      <c r="C45" s="23" t="s">
        <v>36</v>
      </c>
      <c r="D45" s="23" t="s">
        <v>39</v>
      </c>
      <c r="E45" s="23" t="s">
        <v>34</v>
      </c>
      <c r="F45" s="23">
        <v>70</v>
      </c>
      <c r="G45" s="24">
        <v>54.95</v>
      </c>
      <c r="H45" s="24">
        <v>29.09</v>
      </c>
      <c r="I45" s="25">
        <f t="shared" si="0"/>
        <v>3846.5</v>
      </c>
      <c r="J45" s="25">
        <f t="shared" si="1"/>
        <v>1810.2</v>
      </c>
    </row>
    <row r="46" spans="1:10" x14ac:dyDescent="0.35">
      <c r="A46" s="22">
        <v>45979</v>
      </c>
      <c r="B46" s="23" t="s">
        <v>91</v>
      </c>
      <c r="C46" s="23" t="s">
        <v>44</v>
      </c>
      <c r="D46" s="23" t="s">
        <v>57</v>
      </c>
      <c r="E46" s="23" t="s">
        <v>42</v>
      </c>
      <c r="F46" s="23">
        <v>18</v>
      </c>
      <c r="G46" s="24">
        <v>271.94</v>
      </c>
      <c r="H46" s="24">
        <v>59.37</v>
      </c>
      <c r="I46" s="25">
        <f t="shared" si="0"/>
        <v>4894.92</v>
      </c>
      <c r="J46" s="25">
        <f t="shared" si="1"/>
        <v>3826.26</v>
      </c>
    </row>
    <row r="47" spans="1:10" x14ac:dyDescent="0.35">
      <c r="A47" s="22">
        <v>45979</v>
      </c>
      <c r="B47" s="23" t="s">
        <v>92</v>
      </c>
      <c r="C47" s="23" t="s">
        <v>44</v>
      </c>
      <c r="D47" s="23" t="s">
        <v>45</v>
      </c>
      <c r="E47" s="23" t="s">
        <v>40</v>
      </c>
      <c r="F47" s="23">
        <v>13</v>
      </c>
      <c r="G47" s="24">
        <v>329.55</v>
      </c>
      <c r="H47" s="24">
        <v>150.84</v>
      </c>
      <c r="I47" s="25">
        <f t="shared" si="0"/>
        <v>4284.1500000000005</v>
      </c>
      <c r="J47" s="25">
        <f t="shared" si="1"/>
        <v>2323.2300000000005</v>
      </c>
    </row>
    <row r="48" spans="1:10" x14ac:dyDescent="0.35">
      <c r="A48" s="22">
        <v>45979</v>
      </c>
      <c r="B48" s="23" t="s">
        <v>93</v>
      </c>
      <c r="C48" s="23" t="s">
        <v>44</v>
      </c>
      <c r="D48" s="23" t="s">
        <v>45</v>
      </c>
      <c r="E48" s="23" t="s">
        <v>40</v>
      </c>
      <c r="F48" s="23">
        <v>3</v>
      </c>
      <c r="G48" s="24">
        <v>153.24</v>
      </c>
      <c r="H48" s="24">
        <v>70.39</v>
      </c>
      <c r="I48" s="25">
        <f t="shared" si="0"/>
        <v>459.72</v>
      </c>
      <c r="J48" s="25">
        <f t="shared" si="1"/>
        <v>248.55</v>
      </c>
    </row>
    <row r="49" spans="1:10" x14ac:dyDescent="0.35">
      <c r="A49" s="22">
        <v>45980</v>
      </c>
      <c r="B49" s="23" t="s">
        <v>94</v>
      </c>
      <c r="C49" s="23" t="s">
        <v>49</v>
      </c>
      <c r="D49" s="23" t="s">
        <v>50</v>
      </c>
      <c r="E49" s="23" t="s">
        <v>61</v>
      </c>
      <c r="F49" s="23">
        <v>2</v>
      </c>
      <c r="G49" s="24">
        <v>557.42999999999995</v>
      </c>
      <c r="H49" s="24">
        <v>375.53</v>
      </c>
      <c r="I49" s="25">
        <f t="shared" si="0"/>
        <v>1114.8599999999999</v>
      </c>
      <c r="J49" s="25">
        <f t="shared" si="1"/>
        <v>363.79999999999995</v>
      </c>
    </row>
    <row r="50" spans="1:10" x14ac:dyDescent="0.35">
      <c r="A50" s="22">
        <v>45981</v>
      </c>
      <c r="B50" s="23" t="s">
        <v>95</v>
      </c>
      <c r="C50" s="23" t="s">
        <v>36</v>
      </c>
      <c r="D50" s="23" t="s">
        <v>39</v>
      </c>
      <c r="E50" s="23" t="s">
        <v>42</v>
      </c>
      <c r="F50" s="23">
        <v>21</v>
      </c>
      <c r="G50" s="24">
        <v>208.41</v>
      </c>
      <c r="H50" s="24">
        <v>45.95</v>
      </c>
      <c r="I50" s="25">
        <f t="shared" si="0"/>
        <v>4376.6099999999997</v>
      </c>
      <c r="J50" s="25">
        <f t="shared" si="1"/>
        <v>3411.66</v>
      </c>
    </row>
    <row r="51" spans="1:10" x14ac:dyDescent="0.35">
      <c r="A51" s="22">
        <v>45981</v>
      </c>
      <c r="B51" s="23" t="s">
        <v>96</v>
      </c>
      <c r="C51" s="23" t="s">
        <v>36</v>
      </c>
      <c r="D51" s="23" t="s">
        <v>37</v>
      </c>
      <c r="E51" s="23" t="s">
        <v>40</v>
      </c>
      <c r="F51" s="23">
        <v>5</v>
      </c>
      <c r="G51" s="24">
        <v>399.57</v>
      </c>
      <c r="H51" s="24">
        <v>187.57</v>
      </c>
      <c r="I51" s="25">
        <f t="shared" si="0"/>
        <v>1997.85</v>
      </c>
      <c r="J51" s="25">
        <f t="shared" si="1"/>
        <v>1060</v>
      </c>
    </row>
    <row r="52" spans="1:10" x14ac:dyDescent="0.35">
      <c r="A52" s="22">
        <v>45983</v>
      </c>
      <c r="B52" s="23" t="s">
        <v>97</v>
      </c>
      <c r="C52" s="23" t="s">
        <v>36</v>
      </c>
      <c r="D52" s="23" t="s">
        <v>39</v>
      </c>
      <c r="E52" s="23" t="s">
        <v>61</v>
      </c>
      <c r="F52" s="23">
        <v>2</v>
      </c>
      <c r="G52" s="24">
        <v>723.34</v>
      </c>
      <c r="H52" s="24">
        <v>506.66</v>
      </c>
      <c r="I52" s="25">
        <f t="shared" si="0"/>
        <v>1446.68</v>
      </c>
      <c r="J52" s="25">
        <f t="shared" si="1"/>
        <v>433.36</v>
      </c>
    </row>
    <row r="53" spans="1:10" x14ac:dyDescent="0.35">
      <c r="A53" s="22">
        <v>45983</v>
      </c>
      <c r="B53" s="23" t="s">
        <v>98</v>
      </c>
      <c r="C53" s="23" t="s">
        <v>44</v>
      </c>
      <c r="D53" s="23" t="s">
        <v>45</v>
      </c>
      <c r="E53" s="23" t="s">
        <v>42</v>
      </c>
      <c r="F53" s="23">
        <v>7</v>
      </c>
      <c r="G53" s="24">
        <v>287.14999999999998</v>
      </c>
      <c r="H53" s="24">
        <v>63.61</v>
      </c>
      <c r="I53" s="25">
        <f t="shared" si="0"/>
        <v>2010.0499999999997</v>
      </c>
      <c r="J53" s="25">
        <f t="shared" si="1"/>
        <v>1564.7799999999997</v>
      </c>
    </row>
    <row r="54" spans="1:10" x14ac:dyDescent="0.35">
      <c r="A54" s="22">
        <v>45986</v>
      </c>
      <c r="B54" s="23" t="s">
        <v>99</v>
      </c>
      <c r="C54" s="23" t="s">
        <v>44</v>
      </c>
      <c r="D54" s="23" t="s">
        <v>45</v>
      </c>
      <c r="E54" s="23" t="s">
        <v>61</v>
      </c>
      <c r="F54" s="23">
        <v>7</v>
      </c>
      <c r="G54" s="24">
        <v>565.66999999999996</v>
      </c>
      <c r="H54" s="24">
        <v>373.64</v>
      </c>
      <c r="I54" s="25">
        <f t="shared" si="0"/>
        <v>3959.6899999999996</v>
      </c>
      <c r="J54" s="25">
        <f t="shared" si="1"/>
        <v>1344.2099999999996</v>
      </c>
    </row>
    <row r="55" spans="1:10" x14ac:dyDescent="0.35">
      <c r="A55" s="22">
        <v>45992</v>
      </c>
      <c r="B55" s="23" t="s">
        <v>100</v>
      </c>
      <c r="C55" s="23" t="s">
        <v>44</v>
      </c>
      <c r="D55" s="23" t="s">
        <v>45</v>
      </c>
      <c r="E55" s="23" t="s">
        <v>42</v>
      </c>
      <c r="F55" s="23">
        <v>26</v>
      </c>
      <c r="G55" s="24">
        <v>95.39</v>
      </c>
      <c r="H55" s="24">
        <v>21.33</v>
      </c>
      <c r="I55" s="25">
        <f t="shared" si="0"/>
        <v>2480.14</v>
      </c>
      <c r="J55" s="25">
        <f t="shared" si="1"/>
        <v>1925.56</v>
      </c>
    </row>
    <row r="56" spans="1:10" x14ac:dyDescent="0.35">
      <c r="A56" s="22">
        <v>45993</v>
      </c>
      <c r="B56" s="23" t="s">
        <v>101</v>
      </c>
      <c r="C56" s="23" t="s">
        <v>36</v>
      </c>
      <c r="D56" s="23" t="s">
        <v>39</v>
      </c>
      <c r="E56" s="23" t="s">
        <v>40</v>
      </c>
      <c r="F56" s="23">
        <v>15</v>
      </c>
      <c r="G56" s="24">
        <v>305.56</v>
      </c>
      <c r="H56" s="24">
        <v>141.44</v>
      </c>
      <c r="I56" s="25">
        <f t="shared" si="0"/>
        <v>4583.3999999999996</v>
      </c>
      <c r="J56" s="25">
        <f t="shared" si="1"/>
        <v>2461.7999999999997</v>
      </c>
    </row>
    <row r="57" spans="1:10" x14ac:dyDescent="0.35">
      <c r="A57" s="22">
        <v>45993</v>
      </c>
      <c r="B57" s="23" t="s">
        <v>102</v>
      </c>
      <c r="C57" s="23" t="s">
        <v>44</v>
      </c>
      <c r="D57" s="23" t="s">
        <v>45</v>
      </c>
      <c r="E57" s="23" t="s">
        <v>34</v>
      </c>
      <c r="F57" s="23">
        <v>68</v>
      </c>
      <c r="G57" s="24">
        <v>60.85</v>
      </c>
      <c r="H57" s="24">
        <v>34.369999999999997</v>
      </c>
      <c r="I57" s="25">
        <f t="shared" si="0"/>
        <v>4137.8</v>
      </c>
      <c r="J57" s="25">
        <f t="shared" si="1"/>
        <v>1800.6400000000003</v>
      </c>
    </row>
    <row r="58" spans="1:10" x14ac:dyDescent="0.35">
      <c r="A58" s="22">
        <v>45997</v>
      </c>
      <c r="B58" s="23" t="s">
        <v>103</v>
      </c>
      <c r="C58" s="23" t="s">
        <v>49</v>
      </c>
      <c r="D58" s="23" t="s">
        <v>50</v>
      </c>
      <c r="E58" s="23" t="s">
        <v>40</v>
      </c>
      <c r="F58" s="23">
        <v>4</v>
      </c>
      <c r="G58" s="24">
        <v>342.46</v>
      </c>
      <c r="H58" s="24">
        <v>146.55000000000001</v>
      </c>
      <c r="I58" s="25">
        <f t="shared" si="0"/>
        <v>1369.84</v>
      </c>
      <c r="J58" s="25">
        <f t="shared" si="1"/>
        <v>783.63999999999987</v>
      </c>
    </row>
    <row r="59" spans="1:10" x14ac:dyDescent="0.35">
      <c r="A59" s="22">
        <v>45997</v>
      </c>
      <c r="B59" s="23" t="s">
        <v>104</v>
      </c>
      <c r="C59" s="23" t="s">
        <v>32</v>
      </c>
      <c r="D59" s="23" t="s">
        <v>47</v>
      </c>
      <c r="E59" s="23" t="s">
        <v>40</v>
      </c>
      <c r="F59" s="23">
        <v>9</v>
      </c>
      <c r="G59" s="24">
        <v>335.27</v>
      </c>
      <c r="H59" s="24">
        <v>153.43</v>
      </c>
      <c r="I59" s="25">
        <f t="shared" si="0"/>
        <v>3017.43</v>
      </c>
      <c r="J59" s="25">
        <f t="shared" si="1"/>
        <v>1636.5599999999997</v>
      </c>
    </row>
    <row r="60" spans="1:10" x14ac:dyDescent="0.35">
      <c r="A60" s="22">
        <v>45999</v>
      </c>
      <c r="B60" s="23" t="s">
        <v>105</v>
      </c>
      <c r="C60" s="23" t="s">
        <v>44</v>
      </c>
      <c r="D60" s="23" t="s">
        <v>45</v>
      </c>
      <c r="E60" s="23" t="s">
        <v>34</v>
      </c>
      <c r="F60" s="23">
        <v>39</v>
      </c>
      <c r="G60" s="24">
        <v>49.52</v>
      </c>
      <c r="H60" s="24">
        <v>26.71</v>
      </c>
      <c r="I60" s="25">
        <f t="shared" si="0"/>
        <v>1931.2800000000002</v>
      </c>
      <c r="J60" s="25">
        <f t="shared" si="1"/>
        <v>889.59000000000015</v>
      </c>
    </row>
    <row r="61" spans="1:10" x14ac:dyDescent="0.35">
      <c r="A61" s="22">
        <v>45999</v>
      </c>
      <c r="B61" s="23" t="s">
        <v>106</v>
      </c>
      <c r="C61" s="23" t="s">
        <v>36</v>
      </c>
      <c r="D61" s="23" t="s">
        <v>37</v>
      </c>
      <c r="E61" s="23" t="s">
        <v>40</v>
      </c>
      <c r="F61" s="23">
        <v>4</v>
      </c>
      <c r="G61" s="24">
        <v>329.31</v>
      </c>
      <c r="H61" s="24">
        <v>144.91</v>
      </c>
      <c r="I61" s="25">
        <f t="shared" si="0"/>
        <v>1317.24</v>
      </c>
      <c r="J61" s="25">
        <f t="shared" si="1"/>
        <v>737.6</v>
      </c>
    </row>
    <row r="62" spans="1:10" x14ac:dyDescent="0.35">
      <c r="A62" s="22">
        <v>45999</v>
      </c>
      <c r="B62" s="23" t="s">
        <v>107</v>
      </c>
      <c r="C62" s="23" t="s">
        <v>44</v>
      </c>
      <c r="D62" s="23" t="s">
        <v>57</v>
      </c>
      <c r="E62" s="23" t="s">
        <v>34</v>
      </c>
      <c r="F62" s="23">
        <v>41</v>
      </c>
      <c r="G62" s="24">
        <v>67.19</v>
      </c>
      <c r="H62" s="24">
        <v>36.82</v>
      </c>
      <c r="I62" s="25">
        <f t="shared" si="0"/>
        <v>2754.79</v>
      </c>
      <c r="J62" s="25">
        <f t="shared" si="1"/>
        <v>1245.1699999999998</v>
      </c>
    </row>
    <row r="63" spans="1:10" x14ac:dyDescent="0.35">
      <c r="A63" s="22">
        <v>46000</v>
      </c>
      <c r="B63" s="23" t="s">
        <v>108</v>
      </c>
      <c r="C63" s="23" t="s">
        <v>44</v>
      </c>
      <c r="D63" s="23" t="s">
        <v>57</v>
      </c>
      <c r="E63" s="23" t="s">
        <v>40</v>
      </c>
      <c r="F63" s="23">
        <v>17</v>
      </c>
      <c r="G63" s="24">
        <v>198.64</v>
      </c>
      <c r="H63" s="24">
        <v>92.71</v>
      </c>
      <c r="I63" s="25">
        <f t="shared" si="0"/>
        <v>3376.8799999999997</v>
      </c>
      <c r="J63" s="25">
        <f t="shared" si="1"/>
        <v>1800.8099999999997</v>
      </c>
    </row>
    <row r="64" spans="1:10" x14ac:dyDescent="0.35">
      <c r="A64" s="22">
        <v>46001</v>
      </c>
      <c r="B64" s="23" t="s">
        <v>109</v>
      </c>
      <c r="C64" s="23" t="s">
        <v>44</v>
      </c>
      <c r="D64" s="23" t="s">
        <v>45</v>
      </c>
      <c r="E64" s="23" t="s">
        <v>40</v>
      </c>
      <c r="F64" s="23">
        <v>10</v>
      </c>
      <c r="G64" s="24">
        <v>241.62</v>
      </c>
      <c r="H64" s="24">
        <v>110.19</v>
      </c>
      <c r="I64" s="25">
        <f t="shared" si="0"/>
        <v>2416.1999999999998</v>
      </c>
      <c r="J64" s="25">
        <f t="shared" si="1"/>
        <v>1314.2999999999997</v>
      </c>
    </row>
    <row r="65" spans="1:10" x14ac:dyDescent="0.35">
      <c r="A65" s="22">
        <v>46001</v>
      </c>
      <c r="B65" s="23" t="s">
        <v>110</v>
      </c>
      <c r="C65" s="23" t="s">
        <v>49</v>
      </c>
      <c r="D65" s="23" t="s">
        <v>55</v>
      </c>
      <c r="E65" s="23" t="s">
        <v>42</v>
      </c>
      <c r="F65" s="23">
        <v>17</v>
      </c>
      <c r="G65" s="24">
        <v>233.39</v>
      </c>
      <c r="H65" s="24">
        <v>51.63</v>
      </c>
      <c r="I65" s="25">
        <f t="shared" si="0"/>
        <v>3967.6299999999997</v>
      </c>
      <c r="J65" s="25">
        <f t="shared" si="1"/>
        <v>3089.9199999999996</v>
      </c>
    </row>
    <row r="66" spans="1:10" x14ac:dyDescent="0.35">
      <c r="A66" s="22">
        <v>46002</v>
      </c>
      <c r="B66" s="23" t="s">
        <v>111</v>
      </c>
      <c r="C66" s="23" t="s">
        <v>36</v>
      </c>
      <c r="D66" s="23" t="s">
        <v>37</v>
      </c>
      <c r="E66" s="23" t="s">
        <v>61</v>
      </c>
      <c r="F66" s="23">
        <v>5</v>
      </c>
      <c r="G66" s="24">
        <v>880.76</v>
      </c>
      <c r="H66" s="24">
        <v>579.66999999999996</v>
      </c>
      <c r="I66" s="25">
        <f t="shared" ref="I66:I129" si="2">F66*G66</f>
        <v>4403.8</v>
      </c>
      <c r="J66" s="25">
        <f t="shared" ref="J66:J129" si="3">I66-F66*H66</f>
        <v>1505.4500000000003</v>
      </c>
    </row>
    <row r="67" spans="1:10" x14ac:dyDescent="0.35">
      <c r="A67" s="22">
        <v>46003</v>
      </c>
      <c r="B67" s="23" t="s">
        <v>112</v>
      </c>
      <c r="C67" s="23" t="s">
        <v>44</v>
      </c>
      <c r="D67" s="23" t="s">
        <v>45</v>
      </c>
      <c r="E67" s="23" t="s">
        <v>40</v>
      </c>
      <c r="F67" s="23">
        <v>19</v>
      </c>
      <c r="G67" s="24">
        <v>450.12</v>
      </c>
      <c r="H67" s="24">
        <v>199.59</v>
      </c>
      <c r="I67" s="25">
        <f t="shared" si="2"/>
        <v>8552.2800000000007</v>
      </c>
      <c r="J67" s="25">
        <f t="shared" si="3"/>
        <v>4760.0700000000006</v>
      </c>
    </row>
    <row r="68" spans="1:10" x14ac:dyDescent="0.35">
      <c r="A68" s="22">
        <v>46004</v>
      </c>
      <c r="B68" s="23" t="s">
        <v>113</v>
      </c>
      <c r="C68" s="23" t="s">
        <v>36</v>
      </c>
      <c r="D68" s="23" t="s">
        <v>37</v>
      </c>
      <c r="E68" s="23" t="s">
        <v>42</v>
      </c>
      <c r="F68" s="23">
        <v>25</v>
      </c>
      <c r="G68" s="24">
        <v>126.24</v>
      </c>
      <c r="H68" s="24">
        <v>28.57</v>
      </c>
      <c r="I68" s="25">
        <f t="shared" si="2"/>
        <v>3156</v>
      </c>
      <c r="J68" s="25">
        <f t="shared" si="3"/>
        <v>2441.75</v>
      </c>
    </row>
    <row r="69" spans="1:10" x14ac:dyDescent="0.35">
      <c r="A69" s="22">
        <v>46005</v>
      </c>
      <c r="B69" s="23" t="s">
        <v>114</v>
      </c>
      <c r="C69" s="23" t="s">
        <v>44</v>
      </c>
      <c r="D69" s="23" t="s">
        <v>57</v>
      </c>
      <c r="E69" s="23" t="s">
        <v>61</v>
      </c>
      <c r="F69" s="23">
        <v>1</v>
      </c>
      <c r="G69" s="24">
        <v>487.02</v>
      </c>
      <c r="H69" s="24">
        <v>345.52</v>
      </c>
      <c r="I69" s="25">
        <f t="shared" si="2"/>
        <v>487.02</v>
      </c>
      <c r="J69" s="25">
        <f t="shared" si="3"/>
        <v>141.5</v>
      </c>
    </row>
    <row r="70" spans="1:10" x14ac:dyDescent="0.35">
      <c r="A70" s="22">
        <v>46005</v>
      </c>
      <c r="B70" s="23" t="s">
        <v>115</v>
      </c>
      <c r="C70" s="23" t="s">
        <v>49</v>
      </c>
      <c r="D70" s="23" t="s">
        <v>55</v>
      </c>
      <c r="E70" s="23" t="s">
        <v>40</v>
      </c>
      <c r="F70" s="23">
        <v>11</v>
      </c>
      <c r="G70" s="24">
        <v>556.26</v>
      </c>
      <c r="H70" s="24">
        <v>253.21</v>
      </c>
      <c r="I70" s="25">
        <f t="shared" si="2"/>
        <v>6118.86</v>
      </c>
      <c r="J70" s="25">
        <f t="shared" si="3"/>
        <v>3333.5499999999997</v>
      </c>
    </row>
    <row r="71" spans="1:10" x14ac:dyDescent="0.35">
      <c r="A71" s="22">
        <v>46005</v>
      </c>
      <c r="B71" s="23" t="s">
        <v>116</v>
      </c>
      <c r="C71" s="23" t="s">
        <v>44</v>
      </c>
      <c r="D71" s="23" t="s">
        <v>45</v>
      </c>
      <c r="E71" s="23" t="s">
        <v>40</v>
      </c>
      <c r="F71" s="23">
        <v>6</v>
      </c>
      <c r="G71" s="24">
        <v>322.79000000000002</v>
      </c>
      <c r="H71" s="24">
        <v>143.80000000000001</v>
      </c>
      <c r="I71" s="25">
        <f t="shared" si="2"/>
        <v>1936.7400000000002</v>
      </c>
      <c r="J71" s="25">
        <f t="shared" si="3"/>
        <v>1073.94</v>
      </c>
    </row>
    <row r="72" spans="1:10" x14ac:dyDescent="0.35">
      <c r="A72" s="22">
        <v>46005</v>
      </c>
      <c r="B72" s="23" t="s">
        <v>117</v>
      </c>
      <c r="C72" s="23" t="s">
        <v>49</v>
      </c>
      <c r="D72" s="23" t="s">
        <v>50</v>
      </c>
      <c r="E72" s="23" t="s">
        <v>34</v>
      </c>
      <c r="F72" s="23">
        <v>43</v>
      </c>
      <c r="G72" s="24">
        <v>70.77</v>
      </c>
      <c r="H72" s="24">
        <v>38.82</v>
      </c>
      <c r="I72" s="25">
        <f t="shared" si="2"/>
        <v>3043.1099999999997</v>
      </c>
      <c r="J72" s="25">
        <f t="shared" si="3"/>
        <v>1373.8499999999997</v>
      </c>
    </row>
    <row r="73" spans="1:10" x14ac:dyDescent="0.35">
      <c r="A73" s="22">
        <v>46006</v>
      </c>
      <c r="B73" s="23" t="s">
        <v>118</v>
      </c>
      <c r="C73" s="23" t="s">
        <v>49</v>
      </c>
      <c r="D73" s="23" t="s">
        <v>50</v>
      </c>
      <c r="E73" s="23" t="s">
        <v>42</v>
      </c>
      <c r="F73" s="23">
        <v>15</v>
      </c>
      <c r="G73" s="24">
        <v>127.01</v>
      </c>
      <c r="H73" s="24">
        <v>27.87</v>
      </c>
      <c r="I73" s="25">
        <f t="shared" si="2"/>
        <v>1905.15</v>
      </c>
      <c r="J73" s="25">
        <f t="shared" si="3"/>
        <v>1487.1000000000001</v>
      </c>
    </row>
    <row r="74" spans="1:10" x14ac:dyDescent="0.35">
      <c r="A74" s="22">
        <v>46008</v>
      </c>
      <c r="B74" s="23" t="s">
        <v>119</v>
      </c>
      <c r="C74" s="23" t="s">
        <v>49</v>
      </c>
      <c r="D74" s="23" t="s">
        <v>50</v>
      </c>
      <c r="E74" s="23" t="s">
        <v>42</v>
      </c>
      <c r="F74" s="23">
        <v>32</v>
      </c>
      <c r="G74" s="24">
        <v>279.79000000000002</v>
      </c>
      <c r="H74" s="24">
        <v>58.79</v>
      </c>
      <c r="I74" s="25">
        <f t="shared" si="2"/>
        <v>8953.2800000000007</v>
      </c>
      <c r="J74" s="25">
        <f t="shared" si="3"/>
        <v>7072.0000000000009</v>
      </c>
    </row>
    <row r="75" spans="1:10" x14ac:dyDescent="0.35">
      <c r="A75" s="22">
        <v>46011</v>
      </c>
      <c r="B75" s="23" t="s">
        <v>120</v>
      </c>
      <c r="C75" s="23" t="s">
        <v>36</v>
      </c>
      <c r="D75" s="23" t="s">
        <v>39</v>
      </c>
      <c r="E75" s="23" t="s">
        <v>42</v>
      </c>
      <c r="F75" s="23">
        <v>32</v>
      </c>
      <c r="G75" s="24">
        <v>206.85</v>
      </c>
      <c r="H75" s="24">
        <v>44.39</v>
      </c>
      <c r="I75" s="25">
        <f t="shared" si="2"/>
        <v>6619.2</v>
      </c>
      <c r="J75" s="25">
        <f t="shared" si="3"/>
        <v>5198.7199999999993</v>
      </c>
    </row>
    <row r="76" spans="1:10" x14ac:dyDescent="0.35">
      <c r="A76" s="22">
        <v>46011</v>
      </c>
      <c r="B76" s="23" t="s">
        <v>121</v>
      </c>
      <c r="C76" s="23" t="s">
        <v>32</v>
      </c>
      <c r="D76" s="23" t="s">
        <v>47</v>
      </c>
      <c r="E76" s="23" t="s">
        <v>40</v>
      </c>
      <c r="F76" s="23">
        <v>18</v>
      </c>
      <c r="G76" s="24">
        <v>206.08</v>
      </c>
      <c r="H76" s="24">
        <v>96.45</v>
      </c>
      <c r="I76" s="25">
        <f t="shared" si="2"/>
        <v>3709.44</v>
      </c>
      <c r="J76" s="25">
        <f t="shared" si="3"/>
        <v>1973.34</v>
      </c>
    </row>
    <row r="77" spans="1:10" x14ac:dyDescent="0.35">
      <c r="A77" s="22">
        <v>46011</v>
      </c>
      <c r="B77" s="23" t="s">
        <v>122</v>
      </c>
      <c r="C77" s="23" t="s">
        <v>32</v>
      </c>
      <c r="D77" s="23" t="s">
        <v>47</v>
      </c>
      <c r="E77" s="23" t="s">
        <v>34</v>
      </c>
      <c r="F77" s="23">
        <v>74</v>
      </c>
      <c r="G77" s="24">
        <v>81.86</v>
      </c>
      <c r="H77" s="24">
        <v>45.53</v>
      </c>
      <c r="I77" s="25">
        <f t="shared" si="2"/>
        <v>6057.64</v>
      </c>
      <c r="J77" s="25">
        <f t="shared" si="3"/>
        <v>2688.42</v>
      </c>
    </row>
    <row r="78" spans="1:10" x14ac:dyDescent="0.35">
      <c r="A78" s="22">
        <v>46012</v>
      </c>
      <c r="B78" s="23" t="s">
        <v>123</v>
      </c>
      <c r="C78" s="23" t="s">
        <v>36</v>
      </c>
      <c r="D78" s="23" t="s">
        <v>37</v>
      </c>
      <c r="E78" s="23" t="s">
        <v>34</v>
      </c>
      <c r="F78" s="23">
        <v>64</v>
      </c>
      <c r="G78" s="24">
        <v>79.53</v>
      </c>
      <c r="H78" s="24">
        <v>45.43</v>
      </c>
      <c r="I78" s="25">
        <f t="shared" si="2"/>
        <v>5089.92</v>
      </c>
      <c r="J78" s="25">
        <f t="shared" si="3"/>
        <v>2182.4</v>
      </c>
    </row>
    <row r="79" spans="1:10" x14ac:dyDescent="0.35">
      <c r="A79" s="22">
        <v>46012</v>
      </c>
      <c r="B79" s="23" t="s">
        <v>124</v>
      </c>
      <c r="C79" s="23" t="s">
        <v>44</v>
      </c>
      <c r="D79" s="23" t="s">
        <v>45</v>
      </c>
      <c r="E79" s="23" t="s">
        <v>42</v>
      </c>
      <c r="F79" s="23">
        <v>22</v>
      </c>
      <c r="G79" s="24">
        <v>97.05</v>
      </c>
      <c r="H79" s="24">
        <v>20.89</v>
      </c>
      <c r="I79" s="25">
        <f t="shared" si="2"/>
        <v>2135.1</v>
      </c>
      <c r="J79" s="25">
        <f t="shared" si="3"/>
        <v>1675.52</v>
      </c>
    </row>
    <row r="80" spans="1:10" x14ac:dyDescent="0.35">
      <c r="A80" s="22">
        <v>46013</v>
      </c>
      <c r="B80" s="23" t="s">
        <v>125</v>
      </c>
      <c r="C80" s="23" t="s">
        <v>36</v>
      </c>
      <c r="D80" s="23" t="s">
        <v>39</v>
      </c>
      <c r="E80" s="23" t="s">
        <v>42</v>
      </c>
      <c r="F80" s="23">
        <v>10</v>
      </c>
      <c r="G80" s="24">
        <v>226.05</v>
      </c>
      <c r="H80" s="24">
        <v>50.32</v>
      </c>
      <c r="I80" s="25">
        <f t="shared" si="2"/>
        <v>2260.5</v>
      </c>
      <c r="J80" s="25">
        <f t="shared" si="3"/>
        <v>1757.3</v>
      </c>
    </row>
    <row r="81" spans="1:10" x14ac:dyDescent="0.35">
      <c r="A81" s="22">
        <v>46014</v>
      </c>
      <c r="B81" s="23" t="s">
        <v>126</v>
      </c>
      <c r="C81" s="23" t="s">
        <v>44</v>
      </c>
      <c r="D81" s="23" t="s">
        <v>57</v>
      </c>
      <c r="E81" s="23" t="s">
        <v>42</v>
      </c>
      <c r="F81" s="23">
        <v>14</v>
      </c>
      <c r="G81" s="24">
        <v>263.61</v>
      </c>
      <c r="H81" s="24">
        <v>58.47</v>
      </c>
      <c r="I81" s="25">
        <f t="shared" si="2"/>
        <v>3690.54</v>
      </c>
      <c r="J81" s="25">
        <f t="shared" si="3"/>
        <v>2871.96</v>
      </c>
    </row>
    <row r="82" spans="1:10" x14ac:dyDescent="0.35">
      <c r="A82" s="22">
        <v>46016</v>
      </c>
      <c r="B82" s="23" t="s">
        <v>127</v>
      </c>
      <c r="C82" s="23" t="s">
        <v>32</v>
      </c>
      <c r="D82" s="23" t="s">
        <v>33</v>
      </c>
      <c r="E82" s="23" t="s">
        <v>42</v>
      </c>
      <c r="F82" s="23">
        <v>39</v>
      </c>
      <c r="G82" s="24">
        <v>192.07</v>
      </c>
      <c r="H82" s="24">
        <v>43.01</v>
      </c>
      <c r="I82" s="25">
        <f t="shared" si="2"/>
        <v>7490.73</v>
      </c>
      <c r="J82" s="25">
        <f t="shared" si="3"/>
        <v>5813.34</v>
      </c>
    </row>
    <row r="83" spans="1:10" x14ac:dyDescent="0.35">
      <c r="A83" s="22">
        <v>46016</v>
      </c>
      <c r="B83" s="23" t="s">
        <v>128</v>
      </c>
      <c r="C83" s="23" t="s">
        <v>44</v>
      </c>
      <c r="D83" s="23" t="s">
        <v>45</v>
      </c>
      <c r="E83" s="23" t="s">
        <v>34</v>
      </c>
      <c r="F83" s="23">
        <v>72</v>
      </c>
      <c r="G83" s="24">
        <v>35.799999999999997</v>
      </c>
      <c r="H83" s="24">
        <v>20.239999999999998</v>
      </c>
      <c r="I83" s="25">
        <f t="shared" si="2"/>
        <v>2577.6</v>
      </c>
      <c r="J83" s="25">
        <f t="shared" si="3"/>
        <v>1120.32</v>
      </c>
    </row>
    <row r="84" spans="1:10" x14ac:dyDescent="0.35">
      <c r="A84" s="22">
        <v>46018</v>
      </c>
      <c r="B84" s="23" t="s">
        <v>129</v>
      </c>
      <c r="C84" s="23" t="s">
        <v>32</v>
      </c>
      <c r="D84" s="23" t="s">
        <v>33</v>
      </c>
      <c r="E84" s="23" t="s">
        <v>61</v>
      </c>
      <c r="F84" s="23">
        <v>5</v>
      </c>
      <c r="G84" s="24">
        <v>466.81</v>
      </c>
      <c r="H84" s="24">
        <v>305.70999999999998</v>
      </c>
      <c r="I84" s="25">
        <f t="shared" si="2"/>
        <v>2334.0500000000002</v>
      </c>
      <c r="J84" s="25">
        <f t="shared" si="3"/>
        <v>805.50000000000023</v>
      </c>
    </row>
    <row r="85" spans="1:10" x14ac:dyDescent="0.35">
      <c r="A85" s="22">
        <v>46018</v>
      </c>
      <c r="B85" s="23" t="s">
        <v>130</v>
      </c>
      <c r="C85" s="23" t="s">
        <v>44</v>
      </c>
      <c r="D85" s="23" t="s">
        <v>45</v>
      </c>
      <c r="E85" s="23" t="s">
        <v>40</v>
      </c>
      <c r="F85" s="23">
        <v>2</v>
      </c>
      <c r="G85" s="24">
        <v>251.09</v>
      </c>
      <c r="H85" s="24">
        <v>109.59</v>
      </c>
      <c r="I85" s="25">
        <f t="shared" si="2"/>
        <v>502.18</v>
      </c>
      <c r="J85" s="25">
        <f t="shared" si="3"/>
        <v>283</v>
      </c>
    </row>
    <row r="86" spans="1:10" x14ac:dyDescent="0.35">
      <c r="A86" s="22">
        <v>46019</v>
      </c>
      <c r="B86" s="23" t="s">
        <v>131</v>
      </c>
      <c r="C86" s="23" t="s">
        <v>49</v>
      </c>
      <c r="D86" s="23" t="s">
        <v>55</v>
      </c>
      <c r="E86" s="23" t="s">
        <v>34</v>
      </c>
      <c r="F86" s="23">
        <v>40</v>
      </c>
      <c r="G86" s="24">
        <v>71.209999999999994</v>
      </c>
      <c r="H86" s="24">
        <v>40.83</v>
      </c>
      <c r="I86" s="25">
        <f t="shared" si="2"/>
        <v>2848.3999999999996</v>
      </c>
      <c r="J86" s="25">
        <f t="shared" si="3"/>
        <v>1215.1999999999998</v>
      </c>
    </row>
    <row r="87" spans="1:10" x14ac:dyDescent="0.35">
      <c r="A87" s="22">
        <v>46019</v>
      </c>
      <c r="B87" s="23" t="s">
        <v>132</v>
      </c>
      <c r="C87" s="23" t="s">
        <v>44</v>
      </c>
      <c r="D87" s="23" t="s">
        <v>57</v>
      </c>
      <c r="E87" s="23" t="s">
        <v>34</v>
      </c>
      <c r="F87" s="23">
        <v>13</v>
      </c>
      <c r="G87" s="24">
        <v>75.81</v>
      </c>
      <c r="H87" s="24">
        <v>43.29</v>
      </c>
      <c r="I87" s="25">
        <f t="shared" si="2"/>
        <v>985.53</v>
      </c>
      <c r="J87" s="25">
        <f t="shared" si="3"/>
        <v>422.76</v>
      </c>
    </row>
    <row r="88" spans="1:10" x14ac:dyDescent="0.35">
      <c r="A88" s="22">
        <v>46019</v>
      </c>
      <c r="B88" s="23" t="s">
        <v>133</v>
      </c>
      <c r="C88" s="23" t="s">
        <v>36</v>
      </c>
      <c r="D88" s="23" t="s">
        <v>39</v>
      </c>
      <c r="E88" s="23" t="s">
        <v>42</v>
      </c>
      <c r="F88" s="23">
        <v>40</v>
      </c>
      <c r="G88" s="24">
        <v>256.31</v>
      </c>
      <c r="H88" s="24">
        <v>57.33</v>
      </c>
      <c r="I88" s="25">
        <f t="shared" si="2"/>
        <v>10252.4</v>
      </c>
      <c r="J88" s="25">
        <f t="shared" si="3"/>
        <v>7959.2</v>
      </c>
    </row>
    <row r="89" spans="1:10" x14ac:dyDescent="0.35">
      <c r="A89" s="22">
        <v>46023</v>
      </c>
      <c r="B89" s="23" t="s">
        <v>134</v>
      </c>
      <c r="C89" s="23" t="s">
        <v>49</v>
      </c>
      <c r="D89" s="23" t="s">
        <v>55</v>
      </c>
      <c r="E89" s="23" t="s">
        <v>40</v>
      </c>
      <c r="F89" s="23">
        <v>15</v>
      </c>
      <c r="G89" s="24">
        <v>448.35</v>
      </c>
      <c r="H89" s="24">
        <v>193.36</v>
      </c>
      <c r="I89" s="25">
        <f t="shared" si="2"/>
        <v>6725.25</v>
      </c>
      <c r="J89" s="25">
        <f t="shared" si="3"/>
        <v>3824.85</v>
      </c>
    </row>
    <row r="90" spans="1:10" x14ac:dyDescent="0.35">
      <c r="A90" s="22">
        <v>46026</v>
      </c>
      <c r="B90" s="23" t="s">
        <v>135</v>
      </c>
      <c r="C90" s="23" t="s">
        <v>32</v>
      </c>
      <c r="D90" s="23" t="s">
        <v>33</v>
      </c>
      <c r="E90" s="23" t="s">
        <v>34</v>
      </c>
      <c r="F90" s="23">
        <v>15</v>
      </c>
      <c r="G90" s="24">
        <v>60.03</v>
      </c>
      <c r="H90" s="24">
        <v>31.77</v>
      </c>
      <c r="I90" s="25">
        <f t="shared" si="2"/>
        <v>900.45</v>
      </c>
      <c r="J90" s="25">
        <f t="shared" si="3"/>
        <v>423.90000000000003</v>
      </c>
    </row>
    <row r="91" spans="1:10" x14ac:dyDescent="0.35">
      <c r="A91" s="22">
        <v>46027</v>
      </c>
      <c r="B91" s="23" t="s">
        <v>136</v>
      </c>
      <c r="C91" s="23" t="s">
        <v>49</v>
      </c>
      <c r="D91" s="23" t="s">
        <v>50</v>
      </c>
      <c r="E91" s="23" t="s">
        <v>61</v>
      </c>
      <c r="F91" s="23">
        <v>8</v>
      </c>
      <c r="G91" s="24">
        <v>419.1</v>
      </c>
      <c r="H91" s="24">
        <v>280.07</v>
      </c>
      <c r="I91" s="25">
        <f t="shared" si="2"/>
        <v>3352.8</v>
      </c>
      <c r="J91" s="25">
        <f t="shared" si="3"/>
        <v>1112.2400000000002</v>
      </c>
    </row>
    <row r="92" spans="1:10" x14ac:dyDescent="0.35">
      <c r="A92" s="22">
        <v>46029</v>
      </c>
      <c r="B92" s="23" t="s">
        <v>137</v>
      </c>
      <c r="C92" s="23" t="s">
        <v>36</v>
      </c>
      <c r="D92" s="23" t="s">
        <v>37</v>
      </c>
      <c r="E92" s="23" t="s">
        <v>40</v>
      </c>
      <c r="F92" s="23">
        <v>5</v>
      </c>
      <c r="G92" s="24">
        <v>257.35000000000002</v>
      </c>
      <c r="H92" s="24">
        <v>115.5</v>
      </c>
      <c r="I92" s="25">
        <f t="shared" si="2"/>
        <v>1286.75</v>
      </c>
      <c r="J92" s="25">
        <f t="shared" si="3"/>
        <v>709.25</v>
      </c>
    </row>
    <row r="93" spans="1:10" x14ac:dyDescent="0.35">
      <c r="A93" s="22">
        <v>46030</v>
      </c>
      <c r="B93" s="23" t="s">
        <v>138</v>
      </c>
      <c r="C93" s="23" t="s">
        <v>36</v>
      </c>
      <c r="D93" s="23" t="s">
        <v>39</v>
      </c>
      <c r="E93" s="23" t="s">
        <v>40</v>
      </c>
      <c r="F93" s="23">
        <v>9</v>
      </c>
      <c r="G93" s="24">
        <v>443.29</v>
      </c>
      <c r="H93" s="24">
        <v>204.55</v>
      </c>
      <c r="I93" s="25">
        <f t="shared" si="2"/>
        <v>3989.61</v>
      </c>
      <c r="J93" s="25">
        <f t="shared" si="3"/>
        <v>2148.66</v>
      </c>
    </row>
    <row r="94" spans="1:10" x14ac:dyDescent="0.35">
      <c r="A94" s="22">
        <v>46031</v>
      </c>
      <c r="B94" s="23" t="s">
        <v>139</v>
      </c>
      <c r="C94" s="23" t="s">
        <v>36</v>
      </c>
      <c r="D94" s="23" t="s">
        <v>39</v>
      </c>
      <c r="E94" s="23" t="s">
        <v>42</v>
      </c>
      <c r="F94" s="23">
        <v>27</v>
      </c>
      <c r="G94" s="24">
        <v>244.79</v>
      </c>
      <c r="H94" s="24">
        <v>51.44</v>
      </c>
      <c r="I94" s="25">
        <f t="shared" si="2"/>
        <v>6609.33</v>
      </c>
      <c r="J94" s="25">
        <f t="shared" si="3"/>
        <v>5220.45</v>
      </c>
    </row>
    <row r="95" spans="1:10" x14ac:dyDescent="0.35">
      <c r="A95" s="22">
        <v>46033</v>
      </c>
      <c r="B95" s="23" t="s">
        <v>140</v>
      </c>
      <c r="C95" s="23" t="s">
        <v>32</v>
      </c>
      <c r="D95" s="23" t="s">
        <v>47</v>
      </c>
      <c r="E95" s="23" t="s">
        <v>34</v>
      </c>
      <c r="F95" s="23">
        <v>59</v>
      </c>
      <c r="G95" s="24">
        <v>21.04</v>
      </c>
      <c r="H95" s="24">
        <v>11.17</v>
      </c>
      <c r="I95" s="25">
        <f t="shared" si="2"/>
        <v>1241.3599999999999</v>
      </c>
      <c r="J95" s="25">
        <f t="shared" si="3"/>
        <v>582.32999999999993</v>
      </c>
    </row>
    <row r="96" spans="1:10" x14ac:dyDescent="0.35">
      <c r="A96" s="22">
        <v>46033</v>
      </c>
      <c r="B96" s="23" t="s">
        <v>141</v>
      </c>
      <c r="C96" s="23" t="s">
        <v>49</v>
      </c>
      <c r="D96" s="23" t="s">
        <v>55</v>
      </c>
      <c r="E96" s="23" t="s">
        <v>40</v>
      </c>
      <c r="F96" s="23">
        <v>19</v>
      </c>
      <c r="G96" s="24">
        <v>528.23</v>
      </c>
      <c r="H96" s="24">
        <v>247.68</v>
      </c>
      <c r="I96" s="25">
        <f t="shared" si="2"/>
        <v>10036.370000000001</v>
      </c>
      <c r="J96" s="25">
        <f t="shared" si="3"/>
        <v>5330.4500000000007</v>
      </c>
    </row>
    <row r="97" spans="1:10" x14ac:dyDescent="0.35">
      <c r="A97" s="22">
        <v>46033</v>
      </c>
      <c r="B97" s="23" t="s">
        <v>142</v>
      </c>
      <c r="C97" s="23" t="s">
        <v>32</v>
      </c>
      <c r="D97" s="23" t="s">
        <v>47</v>
      </c>
      <c r="E97" s="23" t="s">
        <v>40</v>
      </c>
      <c r="F97" s="23">
        <v>15</v>
      </c>
      <c r="G97" s="24">
        <v>320.61</v>
      </c>
      <c r="H97" s="24">
        <v>147.91</v>
      </c>
      <c r="I97" s="25">
        <f t="shared" si="2"/>
        <v>4809.1500000000005</v>
      </c>
      <c r="J97" s="25">
        <f t="shared" si="3"/>
        <v>2590.5000000000005</v>
      </c>
    </row>
    <row r="98" spans="1:10" x14ac:dyDescent="0.35">
      <c r="A98" s="22">
        <v>46034</v>
      </c>
      <c r="B98" s="23" t="s">
        <v>143</v>
      </c>
      <c r="C98" s="23" t="s">
        <v>32</v>
      </c>
      <c r="D98" s="23" t="s">
        <v>33</v>
      </c>
      <c r="E98" s="23" t="s">
        <v>40</v>
      </c>
      <c r="F98" s="23">
        <v>15</v>
      </c>
      <c r="G98" s="24">
        <v>534.04999999999995</v>
      </c>
      <c r="H98" s="24">
        <v>251.22</v>
      </c>
      <c r="I98" s="25">
        <f t="shared" si="2"/>
        <v>8010.7499999999991</v>
      </c>
      <c r="J98" s="25">
        <f t="shared" si="3"/>
        <v>4242.4499999999989</v>
      </c>
    </row>
    <row r="99" spans="1:10" x14ac:dyDescent="0.35">
      <c r="A99" s="22">
        <v>46034</v>
      </c>
      <c r="B99" s="23" t="s">
        <v>144</v>
      </c>
      <c r="C99" s="23" t="s">
        <v>49</v>
      </c>
      <c r="D99" s="23" t="s">
        <v>55</v>
      </c>
      <c r="E99" s="23" t="s">
        <v>40</v>
      </c>
      <c r="F99" s="23">
        <v>2</v>
      </c>
      <c r="G99" s="24">
        <v>181.03</v>
      </c>
      <c r="H99" s="24">
        <v>82.67</v>
      </c>
      <c r="I99" s="25">
        <f t="shared" si="2"/>
        <v>362.06</v>
      </c>
      <c r="J99" s="25">
        <f t="shared" si="3"/>
        <v>196.72</v>
      </c>
    </row>
    <row r="100" spans="1:10" x14ac:dyDescent="0.35">
      <c r="A100" s="22">
        <v>46037</v>
      </c>
      <c r="B100" s="23" t="s">
        <v>145</v>
      </c>
      <c r="C100" s="23" t="s">
        <v>49</v>
      </c>
      <c r="D100" s="23" t="s">
        <v>55</v>
      </c>
      <c r="E100" s="23" t="s">
        <v>61</v>
      </c>
      <c r="F100" s="23">
        <v>10</v>
      </c>
      <c r="G100" s="24">
        <v>791.38</v>
      </c>
      <c r="H100" s="24">
        <v>532.19000000000005</v>
      </c>
      <c r="I100" s="25">
        <f t="shared" si="2"/>
        <v>7913.8</v>
      </c>
      <c r="J100" s="25">
        <f t="shared" si="3"/>
        <v>2591.8999999999996</v>
      </c>
    </row>
    <row r="101" spans="1:10" x14ac:dyDescent="0.35">
      <c r="A101" s="22">
        <v>46040</v>
      </c>
      <c r="B101" s="23" t="s">
        <v>146</v>
      </c>
      <c r="C101" s="23" t="s">
        <v>44</v>
      </c>
      <c r="D101" s="23" t="s">
        <v>45</v>
      </c>
      <c r="E101" s="23" t="s">
        <v>42</v>
      </c>
      <c r="F101" s="23">
        <v>29</v>
      </c>
      <c r="G101" s="24">
        <v>140.05000000000001</v>
      </c>
      <c r="H101" s="24">
        <v>30.77</v>
      </c>
      <c r="I101" s="25">
        <f t="shared" si="2"/>
        <v>4061.4500000000003</v>
      </c>
      <c r="J101" s="25">
        <f t="shared" si="3"/>
        <v>3169.1200000000003</v>
      </c>
    </row>
    <row r="102" spans="1:10" x14ac:dyDescent="0.35">
      <c r="A102" s="22">
        <v>46041</v>
      </c>
      <c r="B102" s="23" t="s">
        <v>147</v>
      </c>
      <c r="C102" s="23" t="s">
        <v>44</v>
      </c>
      <c r="D102" s="23" t="s">
        <v>45</v>
      </c>
      <c r="E102" s="23" t="s">
        <v>42</v>
      </c>
      <c r="F102" s="23">
        <v>12</v>
      </c>
      <c r="G102" s="24">
        <v>136.37</v>
      </c>
      <c r="H102" s="24">
        <v>29.61</v>
      </c>
      <c r="I102" s="25">
        <f t="shared" si="2"/>
        <v>1636.44</v>
      </c>
      <c r="J102" s="25">
        <f t="shared" si="3"/>
        <v>1281.1200000000001</v>
      </c>
    </row>
    <row r="103" spans="1:10" x14ac:dyDescent="0.35">
      <c r="A103" s="22">
        <v>46041</v>
      </c>
      <c r="B103" s="23" t="s">
        <v>148</v>
      </c>
      <c r="C103" s="23" t="s">
        <v>49</v>
      </c>
      <c r="D103" s="23" t="s">
        <v>55</v>
      </c>
      <c r="E103" s="23" t="s">
        <v>42</v>
      </c>
      <c r="F103" s="23">
        <v>20</v>
      </c>
      <c r="G103" s="24">
        <v>237.3</v>
      </c>
      <c r="H103" s="24">
        <v>49.99</v>
      </c>
      <c r="I103" s="25">
        <f t="shared" si="2"/>
        <v>4746</v>
      </c>
      <c r="J103" s="25">
        <f t="shared" si="3"/>
        <v>3746.2</v>
      </c>
    </row>
    <row r="104" spans="1:10" x14ac:dyDescent="0.35">
      <c r="A104" s="22">
        <v>46042</v>
      </c>
      <c r="B104" s="23" t="s">
        <v>149</v>
      </c>
      <c r="C104" s="23" t="s">
        <v>49</v>
      </c>
      <c r="D104" s="23" t="s">
        <v>50</v>
      </c>
      <c r="E104" s="23" t="s">
        <v>42</v>
      </c>
      <c r="F104" s="23">
        <v>25</v>
      </c>
      <c r="G104" s="24">
        <v>261.66000000000003</v>
      </c>
      <c r="H104" s="24">
        <v>58.1</v>
      </c>
      <c r="I104" s="25">
        <f t="shared" si="2"/>
        <v>6541.5000000000009</v>
      </c>
      <c r="J104" s="25">
        <f t="shared" si="3"/>
        <v>5089.0000000000009</v>
      </c>
    </row>
    <row r="105" spans="1:10" x14ac:dyDescent="0.35">
      <c r="A105" s="22">
        <v>46045</v>
      </c>
      <c r="B105" s="23" t="s">
        <v>150</v>
      </c>
      <c r="C105" s="23" t="s">
        <v>44</v>
      </c>
      <c r="D105" s="23" t="s">
        <v>57</v>
      </c>
      <c r="E105" s="23" t="s">
        <v>40</v>
      </c>
      <c r="F105" s="23">
        <v>19</v>
      </c>
      <c r="G105" s="24">
        <v>178.9</v>
      </c>
      <c r="H105" s="24">
        <v>79.760000000000005</v>
      </c>
      <c r="I105" s="25">
        <f t="shared" si="2"/>
        <v>3399.1</v>
      </c>
      <c r="J105" s="25">
        <f t="shared" si="3"/>
        <v>1883.6599999999999</v>
      </c>
    </row>
    <row r="106" spans="1:10" x14ac:dyDescent="0.35">
      <c r="A106" s="22">
        <v>46045</v>
      </c>
      <c r="B106" s="23" t="s">
        <v>151</v>
      </c>
      <c r="C106" s="23" t="s">
        <v>36</v>
      </c>
      <c r="D106" s="23" t="s">
        <v>37</v>
      </c>
      <c r="E106" s="23" t="s">
        <v>34</v>
      </c>
      <c r="F106" s="23">
        <v>10</v>
      </c>
      <c r="G106" s="24">
        <v>72.42</v>
      </c>
      <c r="H106" s="24">
        <v>39.35</v>
      </c>
      <c r="I106" s="25">
        <f t="shared" si="2"/>
        <v>724.2</v>
      </c>
      <c r="J106" s="25">
        <f t="shared" si="3"/>
        <v>330.70000000000005</v>
      </c>
    </row>
    <row r="107" spans="1:10" x14ac:dyDescent="0.35">
      <c r="A107" s="22">
        <v>46045</v>
      </c>
      <c r="B107" s="23" t="s">
        <v>152</v>
      </c>
      <c r="C107" s="23" t="s">
        <v>44</v>
      </c>
      <c r="D107" s="23" t="s">
        <v>57</v>
      </c>
      <c r="E107" s="23" t="s">
        <v>42</v>
      </c>
      <c r="F107" s="23">
        <v>22</v>
      </c>
      <c r="G107" s="24">
        <v>241.43</v>
      </c>
      <c r="H107" s="24">
        <v>55.59</v>
      </c>
      <c r="I107" s="25">
        <f t="shared" si="2"/>
        <v>5311.46</v>
      </c>
      <c r="J107" s="25">
        <f t="shared" si="3"/>
        <v>4088.48</v>
      </c>
    </row>
    <row r="108" spans="1:10" x14ac:dyDescent="0.35">
      <c r="A108" s="22">
        <v>46047</v>
      </c>
      <c r="B108" s="23" t="s">
        <v>153</v>
      </c>
      <c r="C108" s="23" t="s">
        <v>44</v>
      </c>
      <c r="D108" s="23" t="s">
        <v>57</v>
      </c>
      <c r="E108" s="23" t="s">
        <v>34</v>
      </c>
      <c r="F108" s="23">
        <v>49</v>
      </c>
      <c r="G108" s="24">
        <v>23.11</v>
      </c>
      <c r="H108" s="24">
        <v>12.11</v>
      </c>
      <c r="I108" s="25">
        <f t="shared" si="2"/>
        <v>1132.3899999999999</v>
      </c>
      <c r="J108" s="25">
        <f t="shared" si="3"/>
        <v>538.99999999999989</v>
      </c>
    </row>
    <row r="109" spans="1:10" x14ac:dyDescent="0.35">
      <c r="A109" s="22">
        <v>46047</v>
      </c>
      <c r="B109" s="23" t="s">
        <v>154</v>
      </c>
      <c r="C109" s="23" t="s">
        <v>49</v>
      </c>
      <c r="D109" s="23" t="s">
        <v>50</v>
      </c>
      <c r="E109" s="23" t="s">
        <v>40</v>
      </c>
      <c r="F109" s="23">
        <v>17</v>
      </c>
      <c r="G109" s="24">
        <v>450.68</v>
      </c>
      <c r="H109" s="24">
        <v>199.49</v>
      </c>
      <c r="I109" s="25">
        <f t="shared" si="2"/>
        <v>7661.56</v>
      </c>
      <c r="J109" s="25">
        <f t="shared" si="3"/>
        <v>4270.2300000000005</v>
      </c>
    </row>
    <row r="110" spans="1:10" x14ac:dyDescent="0.35">
      <c r="A110" s="22">
        <v>46050</v>
      </c>
      <c r="B110" s="23" t="s">
        <v>155</v>
      </c>
      <c r="C110" s="23" t="s">
        <v>49</v>
      </c>
      <c r="D110" s="23" t="s">
        <v>55</v>
      </c>
      <c r="E110" s="23" t="s">
        <v>34</v>
      </c>
      <c r="F110" s="23">
        <v>68</v>
      </c>
      <c r="G110" s="24">
        <v>22.92</v>
      </c>
      <c r="H110" s="24">
        <v>13.19</v>
      </c>
      <c r="I110" s="25">
        <f t="shared" si="2"/>
        <v>1558.5600000000002</v>
      </c>
      <c r="J110" s="25">
        <f t="shared" si="3"/>
        <v>661.64000000000021</v>
      </c>
    </row>
    <row r="111" spans="1:10" x14ac:dyDescent="0.35">
      <c r="A111" s="22">
        <v>46050</v>
      </c>
      <c r="B111" s="23" t="s">
        <v>156</v>
      </c>
      <c r="C111" s="23" t="s">
        <v>44</v>
      </c>
      <c r="D111" s="23" t="s">
        <v>45</v>
      </c>
      <c r="E111" s="23" t="s">
        <v>34</v>
      </c>
      <c r="F111" s="23">
        <v>41</v>
      </c>
      <c r="G111" s="24">
        <v>21.5</v>
      </c>
      <c r="H111" s="24">
        <v>12.28</v>
      </c>
      <c r="I111" s="25">
        <f t="shared" si="2"/>
        <v>881.5</v>
      </c>
      <c r="J111" s="25">
        <f t="shared" si="3"/>
        <v>378.02000000000004</v>
      </c>
    </row>
    <row r="112" spans="1:10" x14ac:dyDescent="0.35">
      <c r="A112" s="22">
        <v>46055</v>
      </c>
      <c r="B112" s="23" t="s">
        <v>157</v>
      </c>
      <c r="C112" s="23" t="s">
        <v>32</v>
      </c>
      <c r="D112" s="23" t="s">
        <v>33</v>
      </c>
      <c r="E112" s="23" t="s">
        <v>34</v>
      </c>
      <c r="F112" s="23">
        <v>61</v>
      </c>
      <c r="G112" s="24">
        <v>50.83</v>
      </c>
      <c r="H112" s="24">
        <v>28.86</v>
      </c>
      <c r="I112" s="25">
        <f t="shared" si="2"/>
        <v>3100.63</v>
      </c>
      <c r="J112" s="25">
        <f t="shared" si="3"/>
        <v>1340.17</v>
      </c>
    </row>
    <row r="113" spans="1:10" x14ac:dyDescent="0.35">
      <c r="A113" s="22">
        <v>46055</v>
      </c>
      <c r="B113" s="23" t="s">
        <v>158</v>
      </c>
      <c r="C113" s="23" t="s">
        <v>44</v>
      </c>
      <c r="D113" s="23" t="s">
        <v>45</v>
      </c>
      <c r="E113" s="23" t="s">
        <v>42</v>
      </c>
      <c r="F113" s="23">
        <v>9</v>
      </c>
      <c r="G113" s="24">
        <v>142.19999999999999</v>
      </c>
      <c r="H113" s="24">
        <v>32.409999999999997</v>
      </c>
      <c r="I113" s="25">
        <f t="shared" si="2"/>
        <v>1279.8</v>
      </c>
      <c r="J113" s="25">
        <f t="shared" si="3"/>
        <v>988.11</v>
      </c>
    </row>
    <row r="114" spans="1:10" x14ac:dyDescent="0.35">
      <c r="A114" s="22">
        <v>46056</v>
      </c>
      <c r="B114" s="23" t="s">
        <v>159</v>
      </c>
      <c r="C114" s="23" t="s">
        <v>44</v>
      </c>
      <c r="D114" s="23" t="s">
        <v>57</v>
      </c>
      <c r="E114" s="23" t="s">
        <v>61</v>
      </c>
      <c r="F114" s="23">
        <v>5</v>
      </c>
      <c r="G114" s="24">
        <v>542.83000000000004</v>
      </c>
      <c r="H114" s="24">
        <v>372.59</v>
      </c>
      <c r="I114" s="25">
        <f t="shared" si="2"/>
        <v>2714.15</v>
      </c>
      <c r="J114" s="25">
        <f t="shared" si="3"/>
        <v>851.20000000000027</v>
      </c>
    </row>
    <row r="115" spans="1:10" x14ac:dyDescent="0.35">
      <c r="A115" s="22">
        <v>46056</v>
      </c>
      <c r="B115" s="23" t="s">
        <v>160</v>
      </c>
      <c r="C115" s="23" t="s">
        <v>36</v>
      </c>
      <c r="D115" s="23" t="s">
        <v>37</v>
      </c>
      <c r="E115" s="23" t="s">
        <v>61</v>
      </c>
      <c r="F115" s="23">
        <v>10</v>
      </c>
      <c r="G115" s="24">
        <v>449.95</v>
      </c>
      <c r="H115" s="24">
        <v>313.58</v>
      </c>
      <c r="I115" s="25">
        <f t="shared" si="2"/>
        <v>4499.5</v>
      </c>
      <c r="J115" s="25">
        <f t="shared" si="3"/>
        <v>1363.7000000000003</v>
      </c>
    </row>
    <row r="116" spans="1:10" x14ac:dyDescent="0.35">
      <c r="A116" s="22">
        <v>46057</v>
      </c>
      <c r="B116" s="23" t="s">
        <v>161</v>
      </c>
      <c r="C116" s="23" t="s">
        <v>36</v>
      </c>
      <c r="D116" s="23" t="s">
        <v>37</v>
      </c>
      <c r="E116" s="23" t="s">
        <v>40</v>
      </c>
      <c r="F116" s="23">
        <v>7</v>
      </c>
      <c r="G116" s="24">
        <v>361.23</v>
      </c>
      <c r="H116" s="24">
        <v>161.59</v>
      </c>
      <c r="I116" s="25">
        <f t="shared" si="2"/>
        <v>2528.61</v>
      </c>
      <c r="J116" s="25">
        <f t="shared" si="3"/>
        <v>1397.48</v>
      </c>
    </row>
    <row r="117" spans="1:10" x14ac:dyDescent="0.35">
      <c r="A117" s="22">
        <v>46059</v>
      </c>
      <c r="B117" s="23" t="s">
        <v>162</v>
      </c>
      <c r="C117" s="23" t="s">
        <v>32</v>
      </c>
      <c r="D117" s="23" t="s">
        <v>33</v>
      </c>
      <c r="E117" s="23" t="s">
        <v>61</v>
      </c>
      <c r="F117" s="23">
        <v>1</v>
      </c>
      <c r="G117" s="24">
        <v>597.19000000000005</v>
      </c>
      <c r="H117" s="24">
        <v>396.92</v>
      </c>
      <c r="I117" s="25">
        <f t="shared" si="2"/>
        <v>597.19000000000005</v>
      </c>
      <c r="J117" s="25">
        <f t="shared" si="3"/>
        <v>200.27000000000004</v>
      </c>
    </row>
    <row r="118" spans="1:10" x14ac:dyDescent="0.35">
      <c r="A118" s="22">
        <v>46060</v>
      </c>
      <c r="B118" s="23" t="s">
        <v>163</v>
      </c>
      <c r="C118" s="23" t="s">
        <v>44</v>
      </c>
      <c r="D118" s="23" t="s">
        <v>45</v>
      </c>
      <c r="E118" s="23" t="s">
        <v>40</v>
      </c>
      <c r="F118" s="23">
        <v>18</v>
      </c>
      <c r="G118" s="24">
        <v>274.42</v>
      </c>
      <c r="H118" s="24">
        <v>124.6</v>
      </c>
      <c r="I118" s="25">
        <f t="shared" si="2"/>
        <v>4939.5600000000004</v>
      </c>
      <c r="J118" s="25">
        <f t="shared" si="3"/>
        <v>2696.7600000000007</v>
      </c>
    </row>
    <row r="119" spans="1:10" x14ac:dyDescent="0.35">
      <c r="A119" s="22">
        <v>46062</v>
      </c>
      <c r="B119" s="23" t="s">
        <v>164</v>
      </c>
      <c r="C119" s="23" t="s">
        <v>32</v>
      </c>
      <c r="D119" s="23" t="s">
        <v>33</v>
      </c>
      <c r="E119" s="23" t="s">
        <v>40</v>
      </c>
      <c r="F119" s="23">
        <v>9</v>
      </c>
      <c r="G119" s="24">
        <v>382.48</v>
      </c>
      <c r="H119" s="24">
        <v>166.8</v>
      </c>
      <c r="I119" s="25">
        <f t="shared" si="2"/>
        <v>3442.32</v>
      </c>
      <c r="J119" s="25">
        <f t="shared" si="3"/>
        <v>1941.1200000000001</v>
      </c>
    </row>
    <row r="120" spans="1:10" x14ac:dyDescent="0.35">
      <c r="A120" s="22">
        <v>46063</v>
      </c>
      <c r="B120" s="23" t="s">
        <v>165</v>
      </c>
      <c r="C120" s="23" t="s">
        <v>36</v>
      </c>
      <c r="D120" s="23" t="s">
        <v>39</v>
      </c>
      <c r="E120" s="23" t="s">
        <v>34</v>
      </c>
      <c r="F120" s="23">
        <v>38</v>
      </c>
      <c r="G120" s="24">
        <v>23.88</v>
      </c>
      <c r="H120" s="24">
        <v>13.48</v>
      </c>
      <c r="I120" s="25">
        <f t="shared" si="2"/>
        <v>907.43999999999994</v>
      </c>
      <c r="J120" s="25">
        <f t="shared" si="3"/>
        <v>395.19999999999993</v>
      </c>
    </row>
    <row r="121" spans="1:10" x14ac:dyDescent="0.35">
      <c r="A121" s="22">
        <v>46063</v>
      </c>
      <c r="B121" s="23" t="s">
        <v>166</v>
      </c>
      <c r="C121" s="23" t="s">
        <v>36</v>
      </c>
      <c r="D121" s="23" t="s">
        <v>37</v>
      </c>
      <c r="E121" s="23" t="s">
        <v>40</v>
      </c>
      <c r="F121" s="23">
        <v>8</v>
      </c>
      <c r="G121" s="24">
        <v>483.04</v>
      </c>
      <c r="H121" s="24">
        <v>227.1</v>
      </c>
      <c r="I121" s="25">
        <f t="shared" si="2"/>
        <v>3864.32</v>
      </c>
      <c r="J121" s="25">
        <f t="shared" si="3"/>
        <v>2047.5200000000002</v>
      </c>
    </row>
    <row r="122" spans="1:10" x14ac:dyDescent="0.35">
      <c r="A122" s="22">
        <v>46063</v>
      </c>
      <c r="B122" s="23" t="s">
        <v>167</v>
      </c>
      <c r="C122" s="23" t="s">
        <v>49</v>
      </c>
      <c r="D122" s="23" t="s">
        <v>50</v>
      </c>
      <c r="E122" s="23" t="s">
        <v>61</v>
      </c>
      <c r="F122" s="23">
        <v>5</v>
      </c>
      <c r="G122" s="24">
        <v>697.64</v>
      </c>
      <c r="H122" s="24">
        <v>483.87</v>
      </c>
      <c r="I122" s="25">
        <f t="shared" si="2"/>
        <v>3488.2</v>
      </c>
      <c r="J122" s="25">
        <f t="shared" si="3"/>
        <v>1068.8499999999999</v>
      </c>
    </row>
    <row r="123" spans="1:10" x14ac:dyDescent="0.35">
      <c r="A123" s="22">
        <v>46064</v>
      </c>
      <c r="B123" s="23" t="s">
        <v>168</v>
      </c>
      <c r="C123" s="23" t="s">
        <v>32</v>
      </c>
      <c r="D123" s="23" t="s">
        <v>47</v>
      </c>
      <c r="E123" s="23" t="s">
        <v>40</v>
      </c>
      <c r="F123" s="23">
        <v>5</v>
      </c>
      <c r="G123" s="24">
        <v>271.91000000000003</v>
      </c>
      <c r="H123" s="24">
        <v>119.32</v>
      </c>
      <c r="I123" s="25">
        <f t="shared" si="2"/>
        <v>1359.5500000000002</v>
      </c>
      <c r="J123" s="25">
        <f t="shared" si="3"/>
        <v>762.95000000000027</v>
      </c>
    </row>
    <row r="124" spans="1:10" x14ac:dyDescent="0.35">
      <c r="A124" s="22">
        <v>46067</v>
      </c>
      <c r="B124" s="23" t="s">
        <v>169</v>
      </c>
      <c r="C124" s="23" t="s">
        <v>36</v>
      </c>
      <c r="D124" s="23" t="s">
        <v>39</v>
      </c>
      <c r="E124" s="23" t="s">
        <v>42</v>
      </c>
      <c r="F124" s="23">
        <v>14</v>
      </c>
      <c r="G124" s="24">
        <v>222.48</v>
      </c>
      <c r="H124" s="24">
        <v>50.94</v>
      </c>
      <c r="I124" s="25">
        <f t="shared" si="2"/>
        <v>3114.72</v>
      </c>
      <c r="J124" s="25">
        <f t="shared" si="3"/>
        <v>2401.56</v>
      </c>
    </row>
    <row r="125" spans="1:10" x14ac:dyDescent="0.35">
      <c r="A125" s="22">
        <v>46068</v>
      </c>
      <c r="B125" s="23" t="s">
        <v>170</v>
      </c>
      <c r="C125" s="23" t="s">
        <v>36</v>
      </c>
      <c r="D125" s="23" t="s">
        <v>37</v>
      </c>
      <c r="E125" s="23" t="s">
        <v>61</v>
      </c>
      <c r="F125" s="23">
        <v>5</v>
      </c>
      <c r="G125" s="24">
        <v>394.04</v>
      </c>
      <c r="H125" s="24">
        <v>273.08999999999997</v>
      </c>
      <c r="I125" s="25">
        <f t="shared" si="2"/>
        <v>1970.2</v>
      </c>
      <c r="J125" s="25">
        <f t="shared" si="3"/>
        <v>604.75000000000023</v>
      </c>
    </row>
    <row r="126" spans="1:10" x14ac:dyDescent="0.35">
      <c r="A126" s="22">
        <v>46069</v>
      </c>
      <c r="B126" s="23" t="s">
        <v>171</v>
      </c>
      <c r="C126" s="23" t="s">
        <v>36</v>
      </c>
      <c r="D126" s="23" t="s">
        <v>39</v>
      </c>
      <c r="E126" s="23" t="s">
        <v>40</v>
      </c>
      <c r="F126" s="23">
        <v>20</v>
      </c>
      <c r="G126" s="24">
        <v>458.9</v>
      </c>
      <c r="H126" s="24">
        <v>199.31</v>
      </c>
      <c r="I126" s="25">
        <f t="shared" si="2"/>
        <v>9178</v>
      </c>
      <c r="J126" s="25">
        <f t="shared" si="3"/>
        <v>5191.8</v>
      </c>
    </row>
    <row r="127" spans="1:10" x14ac:dyDescent="0.35">
      <c r="A127" s="22">
        <v>46070</v>
      </c>
      <c r="B127" s="23" t="s">
        <v>172</v>
      </c>
      <c r="C127" s="23" t="s">
        <v>49</v>
      </c>
      <c r="D127" s="23" t="s">
        <v>50</v>
      </c>
      <c r="E127" s="23" t="s">
        <v>42</v>
      </c>
      <c r="F127" s="23">
        <v>25</v>
      </c>
      <c r="G127" s="24">
        <v>211.57</v>
      </c>
      <c r="H127" s="24">
        <v>48.36</v>
      </c>
      <c r="I127" s="25">
        <f t="shared" si="2"/>
        <v>5289.25</v>
      </c>
      <c r="J127" s="25">
        <f t="shared" si="3"/>
        <v>4080.25</v>
      </c>
    </row>
    <row r="128" spans="1:10" x14ac:dyDescent="0.35">
      <c r="A128" s="22">
        <v>46071</v>
      </c>
      <c r="B128" s="23" t="s">
        <v>173</v>
      </c>
      <c r="C128" s="23" t="s">
        <v>32</v>
      </c>
      <c r="D128" s="23" t="s">
        <v>33</v>
      </c>
      <c r="E128" s="23" t="s">
        <v>40</v>
      </c>
      <c r="F128" s="23">
        <v>17</v>
      </c>
      <c r="G128" s="24">
        <v>206.83</v>
      </c>
      <c r="H128" s="24">
        <v>96.5</v>
      </c>
      <c r="I128" s="25">
        <f t="shared" si="2"/>
        <v>3516.11</v>
      </c>
      <c r="J128" s="25">
        <f t="shared" si="3"/>
        <v>1875.6100000000001</v>
      </c>
    </row>
    <row r="129" spans="1:10" x14ac:dyDescent="0.35">
      <c r="A129" s="22">
        <v>46073</v>
      </c>
      <c r="B129" s="23" t="s">
        <v>174</v>
      </c>
      <c r="C129" s="23" t="s">
        <v>32</v>
      </c>
      <c r="D129" s="23" t="s">
        <v>33</v>
      </c>
      <c r="E129" s="23" t="s">
        <v>34</v>
      </c>
      <c r="F129" s="23">
        <v>56</v>
      </c>
      <c r="G129" s="24">
        <v>77.45</v>
      </c>
      <c r="H129" s="24">
        <v>41.73</v>
      </c>
      <c r="I129" s="25">
        <f t="shared" si="2"/>
        <v>4337.2</v>
      </c>
      <c r="J129" s="25">
        <f t="shared" si="3"/>
        <v>2000.3200000000002</v>
      </c>
    </row>
    <row r="130" spans="1:10" x14ac:dyDescent="0.35">
      <c r="A130" s="22">
        <v>46074</v>
      </c>
      <c r="B130" s="23" t="s">
        <v>175</v>
      </c>
      <c r="C130" s="23" t="s">
        <v>44</v>
      </c>
      <c r="D130" s="23" t="s">
        <v>45</v>
      </c>
      <c r="E130" s="23" t="s">
        <v>42</v>
      </c>
      <c r="F130" s="23">
        <v>40</v>
      </c>
      <c r="G130" s="24">
        <v>97.86</v>
      </c>
      <c r="H130" s="24">
        <v>20.97</v>
      </c>
      <c r="I130" s="25">
        <f t="shared" ref="I130:I193" si="4">F130*G130</f>
        <v>3914.4</v>
      </c>
      <c r="J130" s="25">
        <f t="shared" ref="J130:J193" si="5">I130-F130*H130</f>
        <v>3075.6000000000004</v>
      </c>
    </row>
    <row r="131" spans="1:10" x14ac:dyDescent="0.35">
      <c r="A131" s="22">
        <v>46075</v>
      </c>
      <c r="B131" s="23" t="s">
        <v>176</v>
      </c>
      <c r="C131" s="23" t="s">
        <v>32</v>
      </c>
      <c r="D131" s="23" t="s">
        <v>47</v>
      </c>
      <c r="E131" s="23" t="s">
        <v>42</v>
      </c>
      <c r="F131" s="23">
        <v>40</v>
      </c>
      <c r="G131" s="24">
        <v>196.8</v>
      </c>
      <c r="H131" s="24">
        <v>42.97</v>
      </c>
      <c r="I131" s="25">
        <f t="shared" si="4"/>
        <v>7872</v>
      </c>
      <c r="J131" s="25">
        <f t="shared" si="5"/>
        <v>6153.2</v>
      </c>
    </row>
    <row r="132" spans="1:10" x14ac:dyDescent="0.35">
      <c r="A132" s="22">
        <v>46075</v>
      </c>
      <c r="B132" s="23" t="s">
        <v>177</v>
      </c>
      <c r="C132" s="23" t="s">
        <v>44</v>
      </c>
      <c r="D132" s="23" t="s">
        <v>45</v>
      </c>
      <c r="E132" s="23" t="s">
        <v>34</v>
      </c>
      <c r="F132" s="23">
        <v>35</v>
      </c>
      <c r="G132" s="24">
        <v>74.09</v>
      </c>
      <c r="H132" s="24">
        <v>41.26</v>
      </c>
      <c r="I132" s="25">
        <f t="shared" si="4"/>
        <v>2593.15</v>
      </c>
      <c r="J132" s="25">
        <f t="shared" si="5"/>
        <v>1149.0500000000002</v>
      </c>
    </row>
    <row r="133" spans="1:10" x14ac:dyDescent="0.35">
      <c r="A133" s="22">
        <v>46077</v>
      </c>
      <c r="B133" s="23" t="s">
        <v>178</v>
      </c>
      <c r="C133" s="23" t="s">
        <v>49</v>
      </c>
      <c r="D133" s="23" t="s">
        <v>55</v>
      </c>
      <c r="E133" s="23" t="s">
        <v>42</v>
      </c>
      <c r="F133" s="23">
        <v>36</v>
      </c>
      <c r="G133" s="24">
        <v>246.8</v>
      </c>
      <c r="H133" s="24">
        <v>55.33</v>
      </c>
      <c r="I133" s="25">
        <f t="shared" si="4"/>
        <v>8884.8000000000011</v>
      </c>
      <c r="J133" s="25">
        <f t="shared" si="5"/>
        <v>6892.920000000001</v>
      </c>
    </row>
    <row r="134" spans="1:10" x14ac:dyDescent="0.35">
      <c r="A134" s="22">
        <v>46077</v>
      </c>
      <c r="B134" s="23" t="s">
        <v>179</v>
      </c>
      <c r="C134" s="23" t="s">
        <v>44</v>
      </c>
      <c r="D134" s="23" t="s">
        <v>45</v>
      </c>
      <c r="E134" s="23" t="s">
        <v>42</v>
      </c>
      <c r="F134" s="23">
        <v>16</v>
      </c>
      <c r="G134" s="24">
        <v>243.43</v>
      </c>
      <c r="H134" s="24">
        <v>55.97</v>
      </c>
      <c r="I134" s="25">
        <f t="shared" si="4"/>
        <v>3894.88</v>
      </c>
      <c r="J134" s="25">
        <f t="shared" si="5"/>
        <v>2999.36</v>
      </c>
    </row>
    <row r="135" spans="1:10" x14ac:dyDescent="0.35">
      <c r="A135" s="22">
        <v>46078</v>
      </c>
      <c r="B135" s="23" t="s">
        <v>180</v>
      </c>
      <c r="C135" s="23" t="s">
        <v>49</v>
      </c>
      <c r="D135" s="23" t="s">
        <v>55</v>
      </c>
      <c r="E135" s="23" t="s">
        <v>42</v>
      </c>
      <c r="F135" s="23">
        <v>32</v>
      </c>
      <c r="G135" s="24">
        <v>177.4</v>
      </c>
      <c r="H135" s="24">
        <v>40.43</v>
      </c>
      <c r="I135" s="25">
        <f t="shared" si="4"/>
        <v>5676.8</v>
      </c>
      <c r="J135" s="25">
        <f t="shared" si="5"/>
        <v>4383.04</v>
      </c>
    </row>
    <row r="136" spans="1:10" x14ac:dyDescent="0.35">
      <c r="A136" s="22">
        <v>46081</v>
      </c>
      <c r="B136" s="23" t="s">
        <v>181</v>
      </c>
      <c r="C136" s="23" t="s">
        <v>32</v>
      </c>
      <c r="D136" s="23" t="s">
        <v>47</v>
      </c>
      <c r="E136" s="23" t="s">
        <v>61</v>
      </c>
      <c r="F136" s="23">
        <v>6</v>
      </c>
      <c r="G136" s="24">
        <v>387.88</v>
      </c>
      <c r="H136" s="24">
        <v>271.61</v>
      </c>
      <c r="I136" s="25">
        <f t="shared" si="4"/>
        <v>2327.2799999999997</v>
      </c>
      <c r="J136" s="25">
        <f t="shared" si="5"/>
        <v>697.61999999999966</v>
      </c>
    </row>
    <row r="137" spans="1:10" x14ac:dyDescent="0.35">
      <c r="A137" s="22">
        <v>46083</v>
      </c>
      <c r="B137" s="23" t="s">
        <v>182</v>
      </c>
      <c r="C137" s="23" t="s">
        <v>49</v>
      </c>
      <c r="D137" s="23" t="s">
        <v>50</v>
      </c>
      <c r="E137" s="23" t="s">
        <v>61</v>
      </c>
      <c r="F137" s="23">
        <v>7</v>
      </c>
      <c r="G137" s="24">
        <v>414.06</v>
      </c>
      <c r="H137" s="24">
        <v>270.75</v>
      </c>
      <c r="I137" s="25">
        <f t="shared" si="4"/>
        <v>2898.42</v>
      </c>
      <c r="J137" s="25">
        <f t="shared" si="5"/>
        <v>1003.1700000000001</v>
      </c>
    </row>
    <row r="138" spans="1:10" x14ac:dyDescent="0.35">
      <c r="A138" s="22">
        <v>46083</v>
      </c>
      <c r="B138" s="23" t="s">
        <v>183</v>
      </c>
      <c r="C138" s="23" t="s">
        <v>36</v>
      </c>
      <c r="D138" s="23" t="s">
        <v>39</v>
      </c>
      <c r="E138" s="23" t="s">
        <v>61</v>
      </c>
      <c r="F138" s="23">
        <v>4</v>
      </c>
      <c r="G138" s="24">
        <v>694.86</v>
      </c>
      <c r="H138" s="24">
        <v>462.46</v>
      </c>
      <c r="I138" s="25">
        <f t="shared" si="4"/>
        <v>2779.44</v>
      </c>
      <c r="J138" s="25">
        <f t="shared" si="5"/>
        <v>929.60000000000014</v>
      </c>
    </row>
    <row r="139" spans="1:10" x14ac:dyDescent="0.35">
      <c r="A139" s="22">
        <v>46085</v>
      </c>
      <c r="B139" s="23" t="s">
        <v>184</v>
      </c>
      <c r="C139" s="23" t="s">
        <v>36</v>
      </c>
      <c r="D139" s="23" t="s">
        <v>37</v>
      </c>
      <c r="E139" s="23" t="s">
        <v>34</v>
      </c>
      <c r="F139" s="23">
        <v>30</v>
      </c>
      <c r="G139" s="24">
        <v>60.67</v>
      </c>
      <c r="H139" s="24">
        <v>32.5</v>
      </c>
      <c r="I139" s="25">
        <f t="shared" si="4"/>
        <v>1820.1000000000001</v>
      </c>
      <c r="J139" s="25">
        <f t="shared" si="5"/>
        <v>845.10000000000014</v>
      </c>
    </row>
    <row r="140" spans="1:10" x14ac:dyDescent="0.35">
      <c r="A140" s="22">
        <v>46088</v>
      </c>
      <c r="B140" s="23" t="s">
        <v>185</v>
      </c>
      <c r="C140" s="23" t="s">
        <v>32</v>
      </c>
      <c r="D140" s="23" t="s">
        <v>33</v>
      </c>
      <c r="E140" s="23" t="s">
        <v>42</v>
      </c>
      <c r="F140" s="23">
        <v>36</v>
      </c>
      <c r="G140" s="24">
        <v>284.08999999999997</v>
      </c>
      <c r="H140" s="24">
        <v>62.11</v>
      </c>
      <c r="I140" s="25">
        <f t="shared" si="4"/>
        <v>10227.24</v>
      </c>
      <c r="J140" s="25">
        <f t="shared" si="5"/>
        <v>7991.28</v>
      </c>
    </row>
    <row r="141" spans="1:10" x14ac:dyDescent="0.35">
      <c r="A141" s="22">
        <v>46090</v>
      </c>
      <c r="B141" s="23" t="s">
        <v>186</v>
      </c>
      <c r="C141" s="23" t="s">
        <v>36</v>
      </c>
      <c r="D141" s="23" t="s">
        <v>37</v>
      </c>
      <c r="E141" s="23" t="s">
        <v>42</v>
      </c>
      <c r="F141" s="23">
        <v>36</v>
      </c>
      <c r="G141" s="24">
        <v>145.68</v>
      </c>
      <c r="H141" s="24">
        <v>32.33</v>
      </c>
      <c r="I141" s="25">
        <f t="shared" si="4"/>
        <v>5244.4800000000005</v>
      </c>
      <c r="J141" s="25">
        <f t="shared" si="5"/>
        <v>4080.6000000000004</v>
      </c>
    </row>
    <row r="142" spans="1:10" x14ac:dyDescent="0.35">
      <c r="A142" s="22">
        <v>46091</v>
      </c>
      <c r="B142" s="23" t="s">
        <v>187</v>
      </c>
      <c r="C142" s="23" t="s">
        <v>36</v>
      </c>
      <c r="D142" s="23" t="s">
        <v>37</v>
      </c>
      <c r="E142" s="23" t="s">
        <v>40</v>
      </c>
      <c r="F142" s="23">
        <v>5</v>
      </c>
      <c r="G142" s="24">
        <v>191.94</v>
      </c>
      <c r="H142" s="24">
        <v>90.62</v>
      </c>
      <c r="I142" s="25">
        <f t="shared" si="4"/>
        <v>959.7</v>
      </c>
      <c r="J142" s="25">
        <f t="shared" si="5"/>
        <v>506.6</v>
      </c>
    </row>
    <row r="143" spans="1:10" x14ac:dyDescent="0.35">
      <c r="A143" s="22">
        <v>46094</v>
      </c>
      <c r="B143" s="23" t="s">
        <v>188</v>
      </c>
      <c r="C143" s="23" t="s">
        <v>49</v>
      </c>
      <c r="D143" s="23" t="s">
        <v>50</v>
      </c>
      <c r="E143" s="23" t="s">
        <v>34</v>
      </c>
      <c r="F143" s="23">
        <v>40</v>
      </c>
      <c r="G143" s="24">
        <v>80.22</v>
      </c>
      <c r="H143" s="24">
        <v>46.24</v>
      </c>
      <c r="I143" s="25">
        <f t="shared" si="4"/>
        <v>3208.8</v>
      </c>
      <c r="J143" s="25">
        <f t="shared" si="5"/>
        <v>1359.2</v>
      </c>
    </row>
    <row r="144" spans="1:10" x14ac:dyDescent="0.35">
      <c r="A144" s="22">
        <v>46094</v>
      </c>
      <c r="B144" s="23" t="s">
        <v>189</v>
      </c>
      <c r="C144" s="23" t="s">
        <v>32</v>
      </c>
      <c r="D144" s="23" t="s">
        <v>47</v>
      </c>
      <c r="E144" s="23" t="s">
        <v>40</v>
      </c>
      <c r="F144" s="23">
        <v>19</v>
      </c>
      <c r="G144" s="24">
        <v>549.35</v>
      </c>
      <c r="H144" s="24">
        <v>246.91</v>
      </c>
      <c r="I144" s="25">
        <f t="shared" si="4"/>
        <v>10437.65</v>
      </c>
      <c r="J144" s="25">
        <f t="shared" si="5"/>
        <v>5746.36</v>
      </c>
    </row>
    <row r="145" spans="1:10" x14ac:dyDescent="0.35">
      <c r="A145" s="22">
        <v>46095</v>
      </c>
      <c r="B145" s="23" t="s">
        <v>190</v>
      </c>
      <c r="C145" s="23" t="s">
        <v>32</v>
      </c>
      <c r="D145" s="23" t="s">
        <v>47</v>
      </c>
      <c r="E145" s="23" t="s">
        <v>42</v>
      </c>
      <c r="F145" s="23">
        <v>31</v>
      </c>
      <c r="G145" s="24">
        <v>103.01</v>
      </c>
      <c r="H145" s="24">
        <v>21.89</v>
      </c>
      <c r="I145" s="25">
        <f t="shared" si="4"/>
        <v>3193.31</v>
      </c>
      <c r="J145" s="25">
        <f t="shared" si="5"/>
        <v>2514.7199999999998</v>
      </c>
    </row>
    <row r="146" spans="1:10" x14ac:dyDescent="0.35">
      <c r="A146" s="22">
        <v>46095</v>
      </c>
      <c r="B146" s="23" t="s">
        <v>191</v>
      </c>
      <c r="C146" s="23" t="s">
        <v>44</v>
      </c>
      <c r="D146" s="23" t="s">
        <v>57</v>
      </c>
      <c r="E146" s="23" t="s">
        <v>61</v>
      </c>
      <c r="F146" s="23">
        <v>10</v>
      </c>
      <c r="G146" s="24">
        <v>757.99</v>
      </c>
      <c r="H146" s="24">
        <v>503.32</v>
      </c>
      <c r="I146" s="25">
        <f t="shared" si="4"/>
        <v>7579.9</v>
      </c>
      <c r="J146" s="25">
        <f t="shared" si="5"/>
        <v>2546.6999999999998</v>
      </c>
    </row>
    <row r="147" spans="1:10" x14ac:dyDescent="0.35">
      <c r="A147" s="22">
        <v>46096</v>
      </c>
      <c r="B147" s="23" t="s">
        <v>192</v>
      </c>
      <c r="C147" s="23" t="s">
        <v>36</v>
      </c>
      <c r="D147" s="23" t="s">
        <v>39</v>
      </c>
      <c r="E147" s="23" t="s">
        <v>40</v>
      </c>
      <c r="F147" s="23">
        <v>11</v>
      </c>
      <c r="G147" s="24">
        <v>219.29</v>
      </c>
      <c r="H147" s="24">
        <v>102.95</v>
      </c>
      <c r="I147" s="25">
        <f t="shared" si="4"/>
        <v>2412.19</v>
      </c>
      <c r="J147" s="25">
        <f t="shared" si="5"/>
        <v>1279.74</v>
      </c>
    </row>
    <row r="148" spans="1:10" x14ac:dyDescent="0.35">
      <c r="A148" s="22">
        <v>46096</v>
      </c>
      <c r="B148" s="23" t="s">
        <v>193</v>
      </c>
      <c r="C148" s="23" t="s">
        <v>44</v>
      </c>
      <c r="D148" s="23" t="s">
        <v>57</v>
      </c>
      <c r="E148" s="23" t="s">
        <v>40</v>
      </c>
      <c r="F148" s="23">
        <v>3</v>
      </c>
      <c r="G148" s="24">
        <v>556.54</v>
      </c>
      <c r="H148" s="24">
        <v>239.07</v>
      </c>
      <c r="I148" s="25">
        <f t="shared" si="4"/>
        <v>1669.62</v>
      </c>
      <c r="J148" s="25">
        <f t="shared" si="5"/>
        <v>952.40999999999985</v>
      </c>
    </row>
    <row r="149" spans="1:10" x14ac:dyDescent="0.35">
      <c r="A149" s="22">
        <v>46097</v>
      </c>
      <c r="B149" s="23" t="s">
        <v>194</v>
      </c>
      <c r="C149" s="23" t="s">
        <v>49</v>
      </c>
      <c r="D149" s="23" t="s">
        <v>55</v>
      </c>
      <c r="E149" s="23" t="s">
        <v>42</v>
      </c>
      <c r="F149" s="23">
        <v>14</v>
      </c>
      <c r="G149" s="24">
        <v>226.01</v>
      </c>
      <c r="H149" s="24">
        <v>51.32</v>
      </c>
      <c r="I149" s="25">
        <f t="shared" si="4"/>
        <v>3164.14</v>
      </c>
      <c r="J149" s="25">
        <f t="shared" si="5"/>
        <v>2445.66</v>
      </c>
    </row>
    <row r="150" spans="1:10" x14ac:dyDescent="0.35">
      <c r="A150" s="22">
        <v>46097</v>
      </c>
      <c r="B150" s="23" t="s">
        <v>195</v>
      </c>
      <c r="C150" s="23" t="s">
        <v>36</v>
      </c>
      <c r="D150" s="23" t="s">
        <v>37</v>
      </c>
      <c r="E150" s="23" t="s">
        <v>61</v>
      </c>
      <c r="F150" s="23">
        <v>2</v>
      </c>
      <c r="G150" s="24">
        <v>877.48</v>
      </c>
      <c r="H150" s="24">
        <v>586.66</v>
      </c>
      <c r="I150" s="25">
        <f t="shared" si="4"/>
        <v>1754.96</v>
      </c>
      <c r="J150" s="25">
        <f t="shared" si="5"/>
        <v>581.6400000000001</v>
      </c>
    </row>
    <row r="151" spans="1:10" x14ac:dyDescent="0.35">
      <c r="A151" s="22">
        <v>46098</v>
      </c>
      <c r="B151" s="23" t="s">
        <v>196</v>
      </c>
      <c r="C151" s="23" t="s">
        <v>32</v>
      </c>
      <c r="D151" s="23" t="s">
        <v>47</v>
      </c>
      <c r="E151" s="23" t="s">
        <v>40</v>
      </c>
      <c r="F151" s="23">
        <v>3</v>
      </c>
      <c r="G151" s="24">
        <v>374.32</v>
      </c>
      <c r="H151" s="24">
        <v>167.47</v>
      </c>
      <c r="I151" s="25">
        <f t="shared" si="4"/>
        <v>1122.96</v>
      </c>
      <c r="J151" s="25">
        <f t="shared" si="5"/>
        <v>620.55000000000007</v>
      </c>
    </row>
    <row r="152" spans="1:10" x14ac:dyDescent="0.35">
      <c r="A152" s="22">
        <v>46098</v>
      </c>
      <c r="B152" s="23" t="s">
        <v>197</v>
      </c>
      <c r="C152" s="23" t="s">
        <v>32</v>
      </c>
      <c r="D152" s="23" t="s">
        <v>33</v>
      </c>
      <c r="E152" s="23" t="s">
        <v>42</v>
      </c>
      <c r="F152" s="23">
        <v>34</v>
      </c>
      <c r="G152" s="24">
        <v>186.15</v>
      </c>
      <c r="H152" s="24">
        <v>40.840000000000003</v>
      </c>
      <c r="I152" s="25">
        <f t="shared" si="4"/>
        <v>6329.1</v>
      </c>
      <c r="J152" s="25">
        <f t="shared" si="5"/>
        <v>4940.54</v>
      </c>
    </row>
    <row r="153" spans="1:10" x14ac:dyDescent="0.35">
      <c r="A153" s="22">
        <v>46099</v>
      </c>
      <c r="B153" s="23" t="s">
        <v>198</v>
      </c>
      <c r="C153" s="23" t="s">
        <v>44</v>
      </c>
      <c r="D153" s="23" t="s">
        <v>57</v>
      </c>
      <c r="E153" s="23" t="s">
        <v>42</v>
      </c>
      <c r="F153" s="23">
        <v>13</v>
      </c>
      <c r="G153" s="24">
        <v>282.81</v>
      </c>
      <c r="H153" s="24">
        <v>62.27</v>
      </c>
      <c r="I153" s="25">
        <f t="shared" si="4"/>
        <v>3676.53</v>
      </c>
      <c r="J153" s="25">
        <f t="shared" si="5"/>
        <v>2867.0200000000004</v>
      </c>
    </row>
    <row r="154" spans="1:10" x14ac:dyDescent="0.35">
      <c r="A154" s="22">
        <v>46100</v>
      </c>
      <c r="B154" s="23" t="s">
        <v>199</v>
      </c>
      <c r="C154" s="23" t="s">
        <v>36</v>
      </c>
      <c r="D154" s="23" t="s">
        <v>37</v>
      </c>
      <c r="E154" s="23" t="s">
        <v>34</v>
      </c>
      <c r="F154" s="23">
        <v>15</v>
      </c>
      <c r="G154" s="24">
        <v>65.42</v>
      </c>
      <c r="H154" s="24">
        <v>35.15</v>
      </c>
      <c r="I154" s="25">
        <f t="shared" si="4"/>
        <v>981.30000000000007</v>
      </c>
      <c r="J154" s="25">
        <f t="shared" si="5"/>
        <v>454.05000000000007</v>
      </c>
    </row>
    <row r="155" spans="1:10" x14ac:dyDescent="0.35">
      <c r="A155" s="22">
        <v>46100</v>
      </c>
      <c r="B155" s="23" t="s">
        <v>200</v>
      </c>
      <c r="C155" s="23" t="s">
        <v>49</v>
      </c>
      <c r="D155" s="23" t="s">
        <v>55</v>
      </c>
      <c r="E155" s="23" t="s">
        <v>40</v>
      </c>
      <c r="F155" s="23">
        <v>13</v>
      </c>
      <c r="G155" s="24">
        <v>371.28</v>
      </c>
      <c r="H155" s="24">
        <v>160.25</v>
      </c>
      <c r="I155" s="25">
        <f t="shared" si="4"/>
        <v>4826.6399999999994</v>
      </c>
      <c r="J155" s="25">
        <f t="shared" si="5"/>
        <v>2743.3899999999994</v>
      </c>
    </row>
    <row r="156" spans="1:10" x14ac:dyDescent="0.35">
      <c r="A156" s="22">
        <v>46100</v>
      </c>
      <c r="B156" s="23" t="s">
        <v>201</v>
      </c>
      <c r="C156" s="23" t="s">
        <v>49</v>
      </c>
      <c r="D156" s="23" t="s">
        <v>55</v>
      </c>
      <c r="E156" s="23" t="s">
        <v>61</v>
      </c>
      <c r="F156" s="23">
        <v>12</v>
      </c>
      <c r="G156" s="24">
        <v>754.1</v>
      </c>
      <c r="H156" s="24">
        <v>489.39</v>
      </c>
      <c r="I156" s="25">
        <f t="shared" si="4"/>
        <v>9049.2000000000007</v>
      </c>
      <c r="J156" s="25">
        <f t="shared" si="5"/>
        <v>3176.5200000000004</v>
      </c>
    </row>
    <row r="157" spans="1:10" x14ac:dyDescent="0.35">
      <c r="A157" s="22">
        <v>46101</v>
      </c>
      <c r="B157" s="23" t="s">
        <v>202</v>
      </c>
      <c r="C157" s="23" t="s">
        <v>32</v>
      </c>
      <c r="D157" s="23" t="s">
        <v>33</v>
      </c>
      <c r="E157" s="23" t="s">
        <v>61</v>
      </c>
      <c r="F157" s="23">
        <v>10</v>
      </c>
      <c r="G157" s="24">
        <v>398.8</v>
      </c>
      <c r="H157" s="24">
        <v>275.91000000000003</v>
      </c>
      <c r="I157" s="25">
        <f t="shared" si="4"/>
        <v>3988</v>
      </c>
      <c r="J157" s="25">
        <f t="shared" si="5"/>
        <v>1228.8999999999996</v>
      </c>
    </row>
    <row r="158" spans="1:10" x14ac:dyDescent="0.35">
      <c r="A158" s="22">
        <v>46104</v>
      </c>
      <c r="B158" s="23" t="s">
        <v>203</v>
      </c>
      <c r="C158" s="23" t="s">
        <v>49</v>
      </c>
      <c r="D158" s="23" t="s">
        <v>50</v>
      </c>
      <c r="E158" s="23" t="s">
        <v>42</v>
      </c>
      <c r="F158" s="23">
        <v>40</v>
      </c>
      <c r="G158" s="24">
        <v>287.94</v>
      </c>
      <c r="H158" s="24">
        <v>65.33</v>
      </c>
      <c r="I158" s="25">
        <f t="shared" si="4"/>
        <v>11517.6</v>
      </c>
      <c r="J158" s="25">
        <f t="shared" si="5"/>
        <v>8904.4000000000015</v>
      </c>
    </row>
    <row r="159" spans="1:10" x14ac:dyDescent="0.35">
      <c r="A159" s="22">
        <v>46104</v>
      </c>
      <c r="B159" s="23" t="s">
        <v>204</v>
      </c>
      <c r="C159" s="23" t="s">
        <v>49</v>
      </c>
      <c r="D159" s="23" t="s">
        <v>55</v>
      </c>
      <c r="E159" s="23" t="s">
        <v>40</v>
      </c>
      <c r="F159" s="23">
        <v>19</v>
      </c>
      <c r="G159" s="24">
        <v>533.29</v>
      </c>
      <c r="H159" s="24">
        <v>248.44</v>
      </c>
      <c r="I159" s="25">
        <f t="shared" si="4"/>
        <v>10132.509999999998</v>
      </c>
      <c r="J159" s="25">
        <f t="shared" si="5"/>
        <v>5412.1499999999987</v>
      </c>
    </row>
    <row r="160" spans="1:10" x14ac:dyDescent="0.35">
      <c r="A160" s="22">
        <v>46105</v>
      </c>
      <c r="B160" s="23" t="s">
        <v>205</v>
      </c>
      <c r="C160" s="23" t="s">
        <v>36</v>
      </c>
      <c r="D160" s="23" t="s">
        <v>39</v>
      </c>
      <c r="E160" s="23" t="s">
        <v>42</v>
      </c>
      <c r="F160" s="23">
        <v>11</v>
      </c>
      <c r="G160" s="24">
        <v>101.66</v>
      </c>
      <c r="H160" s="24">
        <v>22.66</v>
      </c>
      <c r="I160" s="25">
        <f t="shared" si="4"/>
        <v>1118.26</v>
      </c>
      <c r="J160" s="25">
        <f t="shared" si="5"/>
        <v>869</v>
      </c>
    </row>
    <row r="161" spans="1:10" x14ac:dyDescent="0.35">
      <c r="A161" s="22">
        <v>46106</v>
      </c>
      <c r="B161" s="23" t="s">
        <v>206</v>
      </c>
      <c r="C161" s="23" t="s">
        <v>44</v>
      </c>
      <c r="D161" s="23" t="s">
        <v>57</v>
      </c>
      <c r="E161" s="23" t="s">
        <v>42</v>
      </c>
      <c r="F161" s="23">
        <v>16</v>
      </c>
      <c r="G161" s="24">
        <v>223.33</v>
      </c>
      <c r="H161" s="24">
        <v>51.18</v>
      </c>
      <c r="I161" s="25">
        <f t="shared" si="4"/>
        <v>3573.28</v>
      </c>
      <c r="J161" s="25">
        <f t="shared" si="5"/>
        <v>2754.4</v>
      </c>
    </row>
    <row r="162" spans="1:10" x14ac:dyDescent="0.35">
      <c r="A162" s="22">
        <v>46109</v>
      </c>
      <c r="B162" s="23" t="s">
        <v>207</v>
      </c>
      <c r="C162" s="23" t="s">
        <v>36</v>
      </c>
      <c r="D162" s="23" t="s">
        <v>37</v>
      </c>
      <c r="E162" s="23" t="s">
        <v>40</v>
      </c>
      <c r="F162" s="23">
        <v>8</v>
      </c>
      <c r="G162" s="24">
        <v>394.17</v>
      </c>
      <c r="H162" s="24">
        <v>175.84</v>
      </c>
      <c r="I162" s="25">
        <f t="shared" si="4"/>
        <v>3153.36</v>
      </c>
      <c r="J162" s="25">
        <f t="shared" si="5"/>
        <v>1746.64</v>
      </c>
    </row>
    <row r="163" spans="1:10" x14ac:dyDescent="0.35">
      <c r="A163" s="22">
        <v>46109</v>
      </c>
      <c r="B163" s="23" t="s">
        <v>208</v>
      </c>
      <c r="C163" s="23" t="s">
        <v>36</v>
      </c>
      <c r="D163" s="23" t="s">
        <v>39</v>
      </c>
      <c r="E163" s="23" t="s">
        <v>42</v>
      </c>
      <c r="F163" s="23">
        <v>37</v>
      </c>
      <c r="G163" s="24">
        <v>253.8</v>
      </c>
      <c r="H163" s="24">
        <v>55.36</v>
      </c>
      <c r="I163" s="25">
        <f t="shared" si="4"/>
        <v>9390.6</v>
      </c>
      <c r="J163" s="25">
        <f t="shared" si="5"/>
        <v>7342.2800000000007</v>
      </c>
    </row>
    <row r="164" spans="1:10" x14ac:dyDescent="0.35">
      <c r="A164" s="22">
        <v>46109</v>
      </c>
      <c r="B164" s="23" t="s">
        <v>209</v>
      </c>
      <c r="C164" s="23" t="s">
        <v>44</v>
      </c>
      <c r="D164" s="23" t="s">
        <v>57</v>
      </c>
      <c r="E164" s="23" t="s">
        <v>42</v>
      </c>
      <c r="F164" s="23">
        <v>39</v>
      </c>
      <c r="G164" s="24">
        <v>186.56</v>
      </c>
      <c r="H164" s="24">
        <v>40.36</v>
      </c>
      <c r="I164" s="25">
        <f t="shared" si="4"/>
        <v>7275.84</v>
      </c>
      <c r="J164" s="25">
        <f t="shared" si="5"/>
        <v>5701.8</v>
      </c>
    </row>
    <row r="165" spans="1:10" x14ac:dyDescent="0.35">
      <c r="A165" s="22">
        <v>46109</v>
      </c>
      <c r="B165" s="23" t="s">
        <v>210</v>
      </c>
      <c r="C165" s="23" t="s">
        <v>49</v>
      </c>
      <c r="D165" s="23" t="s">
        <v>50</v>
      </c>
      <c r="E165" s="23" t="s">
        <v>61</v>
      </c>
      <c r="F165" s="23">
        <v>3</v>
      </c>
      <c r="G165" s="24">
        <v>841.79</v>
      </c>
      <c r="H165" s="24">
        <v>544.66999999999996</v>
      </c>
      <c r="I165" s="25">
        <f t="shared" si="4"/>
        <v>2525.37</v>
      </c>
      <c r="J165" s="25">
        <f t="shared" si="5"/>
        <v>891.36000000000013</v>
      </c>
    </row>
    <row r="166" spans="1:10" x14ac:dyDescent="0.35">
      <c r="A166" s="22">
        <v>46113</v>
      </c>
      <c r="B166" s="23" t="s">
        <v>211</v>
      </c>
      <c r="C166" s="23" t="s">
        <v>49</v>
      </c>
      <c r="D166" s="23" t="s">
        <v>50</v>
      </c>
      <c r="E166" s="23" t="s">
        <v>34</v>
      </c>
      <c r="F166" s="23">
        <v>66</v>
      </c>
      <c r="G166" s="24">
        <v>65.819999999999993</v>
      </c>
      <c r="H166" s="24">
        <v>34.96</v>
      </c>
      <c r="I166" s="25">
        <f t="shared" si="4"/>
        <v>4344.12</v>
      </c>
      <c r="J166" s="25">
        <f t="shared" si="5"/>
        <v>2036.7599999999998</v>
      </c>
    </row>
    <row r="167" spans="1:10" x14ac:dyDescent="0.35">
      <c r="A167" s="22">
        <v>46115</v>
      </c>
      <c r="B167" s="23" t="s">
        <v>212</v>
      </c>
      <c r="C167" s="23" t="s">
        <v>49</v>
      </c>
      <c r="D167" s="23" t="s">
        <v>55</v>
      </c>
      <c r="E167" s="23" t="s">
        <v>61</v>
      </c>
      <c r="F167" s="23">
        <v>11</v>
      </c>
      <c r="G167" s="24">
        <v>598.77</v>
      </c>
      <c r="H167" s="24">
        <v>405.32</v>
      </c>
      <c r="I167" s="25">
        <f t="shared" si="4"/>
        <v>6586.4699999999993</v>
      </c>
      <c r="J167" s="25">
        <f t="shared" si="5"/>
        <v>2127.9499999999998</v>
      </c>
    </row>
    <row r="168" spans="1:10" x14ac:dyDescent="0.35">
      <c r="A168" s="22">
        <v>46115</v>
      </c>
      <c r="B168" s="23" t="s">
        <v>213</v>
      </c>
      <c r="C168" s="23" t="s">
        <v>44</v>
      </c>
      <c r="D168" s="23" t="s">
        <v>45</v>
      </c>
      <c r="E168" s="23" t="s">
        <v>40</v>
      </c>
      <c r="F168" s="23">
        <v>12</v>
      </c>
      <c r="G168" s="24">
        <v>418.72</v>
      </c>
      <c r="H168" s="24">
        <v>179.41</v>
      </c>
      <c r="I168" s="25">
        <f t="shared" si="4"/>
        <v>5024.6400000000003</v>
      </c>
      <c r="J168" s="25">
        <f t="shared" si="5"/>
        <v>2871.7200000000003</v>
      </c>
    </row>
    <row r="169" spans="1:10" x14ac:dyDescent="0.35">
      <c r="A169" s="22">
        <v>46116</v>
      </c>
      <c r="B169" s="23" t="s">
        <v>214</v>
      </c>
      <c r="C169" s="23" t="s">
        <v>36</v>
      </c>
      <c r="D169" s="23" t="s">
        <v>39</v>
      </c>
      <c r="E169" s="23" t="s">
        <v>61</v>
      </c>
      <c r="F169" s="23">
        <v>6</v>
      </c>
      <c r="G169" s="24">
        <v>599.41</v>
      </c>
      <c r="H169" s="24">
        <v>403.06</v>
      </c>
      <c r="I169" s="25">
        <f t="shared" si="4"/>
        <v>3596.46</v>
      </c>
      <c r="J169" s="25">
        <f t="shared" si="5"/>
        <v>1178.0999999999999</v>
      </c>
    </row>
    <row r="170" spans="1:10" x14ac:dyDescent="0.35">
      <c r="A170" s="22">
        <v>46117</v>
      </c>
      <c r="B170" s="23" t="s">
        <v>215</v>
      </c>
      <c r="C170" s="23" t="s">
        <v>44</v>
      </c>
      <c r="D170" s="23" t="s">
        <v>45</v>
      </c>
      <c r="E170" s="23" t="s">
        <v>34</v>
      </c>
      <c r="F170" s="23">
        <v>56</v>
      </c>
      <c r="G170" s="24">
        <v>69.319999999999993</v>
      </c>
      <c r="H170" s="24">
        <v>39.96</v>
      </c>
      <c r="I170" s="25">
        <f t="shared" si="4"/>
        <v>3881.9199999999996</v>
      </c>
      <c r="J170" s="25">
        <f t="shared" si="5"/>
        <v>1644.1599999999994</v>
      </c>
    </row>
    <row r="171" spans="1:10" x14ac:dyDescent="0.35">
      <c r="A171" s="22">
        <v>46118</v>
      </c>
      <c r="B171" s="23" t="s">
        <v>216</v>
      </c>
      <c r="C171" s="23" t="s">
        <v>44</v>
      </c>
      <c r="D171" s="23" t="s">
        <v>57</v>
      </c>
      <c r="E171" s="23" t="s">
        <v>61</v>
      </c>
      <c r="F171" s="23">
        <v>4</v>
      </c>
      <c r="G171" s="24">
        <v>816.05</v>
      </c>
      <c r="H171" s="24">
        <v>561.55999999999995</v>
      </c>
      <c r="I171" s="25">
        <f t="shared" si="4"/>
        <v>3264.2</v>
      </c>
      <c r="J171" s="25">
        <f t="shared" si="5"/>
        <v>1017.96</v>
      </c>
    </row>
    <row r="172" spans="1:10" x14ac:dyDescent="0.35">
      <c r="A172" s="22">
        <v>46119</v>
      </c>
      <c r="B172" s="23" t="s">
        <v>217</v>
      </c>
      <c r="C172" s="23" t="s">
        <v>49</v>
      </c>
      <c r="D172" s="23" t="s">
        <v>55</v>
      </c>
      <c r="E172" s="23" t="s">
        <v>34</v>
      </c>
      <c r="F172" s="23">
        <v>55</v>
      </c>
      <c r="G172" s="24">
        <v>23</v>
      </c>
      <c r="H172" s="24">
        <v>12.5</v>
      </c>
      <c r="I172" s="25">
        <f t="shared" si="4"/>
        <v>1265</v>
      </c>
      <c r="J172" s="25">
        <f t="shared" si="5"/>
        <v>577.5</v>
      </c>
    </row>
    <row r="173" spans="1:10" x14ac:dyDescent="0.35">
      <c r="A173" s="22">
        <v>46119</v>
      </c>
      <c r="B173" s="23" t="s">
        <v>218</v>
      </c>
      <c r="C173" s="23" t="s">
        <v>49</v>
      </c>
      <c r="D173" s="23" t="s">
        <v>50</v>
      </c>
      <c r="E173" s="23" t="s">
        <v>42</v>
      </c>
      <c r="F173" s="23">
        <v>28</v>
      </c>
      <c r="G173" s="24">
        <v>131.94</v>
      </c>
      <c r="H173" s="24">
        <v>28.63</v>
      </c>
      <c r="I173" s="25">
        <f t="shared" si="4"/>
        <v>3694.3199999999997</v>
      </c>
      <c r="J173" s="25">
        <f t="shared" si="5"/>
        <v>2892.68</v>
      </c>
    </row>
    <row r="174" spans="1:10" x14ac:dyDescent="0.35">
      <c r="A174" s="22">
        <v>46119</v>
      </c>
      <c r="B174" s="23" t="s">
        <v>219</v>
      </c>
      <c r="C174" s="23" t="s">
        <v>44</v>
      </c>
      <c r="D174" s="23" t="s">
        <v>45</v>
      </c>
      <c r="E174" s="23" t="s">
        <v>34</v>
      </c>
      <c r="F174" s="23">
        <v>10</v>
      </c>
      <c r="G174" s="24">
        <v>32.47</v>
      </c>
      <c r="H174" s="24">
        <v>18.350000000000001</v>
      </c>
      <c r="I174" s="25">
        <f t="shared" si="4"/>
        <v>324.7</v>
      </c>
      <c r="J174" s="25">
        <f t="shared" si="5"/>
        <v>141.19999999999999</v>
      </c>
    </row>
    <row r="175" spans="1:10" x14ac:dyDescent="0.35">
      <c r="A175" s="22">
        <v>46120</v>
      </c>
      <c r="B175" s="23" t="s">
        <v>220</v>
      </c>
      <c r="C175" s="23" t="s">
        <v>44</v>
      </c>
      <c r="D175" s="23" t="s">
        <v>57</v>
      </c>
      <c r="E175" s="23" t="s">
        <v>40</v>
      </c>
      <c r="F175" s="23">
        <v>19</v>
      </c>
      <c r="G175" s="24">
        <v>242.34</v>
      </c>
      <c r="H175" s="24">
        <v>112.65</v>
      </c>
      <c r="I175" s="25">
        <f t="shared" si="4"/>
        <v>4604.46</v>
      </c>
      <c r="J175" s="25">
        <f t="shared" si="5"/>
        <v>2464.11</v>
      </c>
    </row>
    <row r="176" spans="1:10" x14ac:dyDescent="0.35">
      <c r="A176" s="22">
        <v>46121</v>
      </c>
      <c r="B176" s="23" t="s">
        <v>221</v>
      </c>
      <c r="C176" s="23" t="s">
        <v>36</v>
      </c>
      <c r="D176" s="23" t="s">
        <v>37</v>
      </c>
      <c r="E176" s="23" t="s">
        <v>40</v>
      </c>
      <c r="F176" s="23">
        <v>3</v>
      </c>
      <c r="G176" s="24">
        <v>458.61</v>
      </c>
      <c r="H176" s="24">
        <v>211.42</v>
      </c>
      <c r="I176" s="25">
        <f t="shared" si="4"/>
        <v>1375.83</v>
      </c>
      <c r="J176" s="25">
        <f t="shared" si="5"/>
        <v>741.56999999999994</v>
      </c>
    </row>
    <row r="177" spans="1:10" x14ac:dyDescent="0.35">
      <c r="A177" s="22">
        <v>46121</v>
      </c>
      <c r="B177" s="23" t="s">
        <v>222</v>
      </c>
      <c r="C177" s="23" t="s">
        <v>44</v>
      </c>
      <c r="D177" s="23" t="s">
        <v>57</v>
      </c>
      <c r="E177" s="23" t="s">
        <v>34</v>
      </c>
      <c r="F177" s="23">
        <v>24</v>
      </c>
      <c r="G177" s="24">
        <v>55.52</v>
      </c>
      <c r="H177" s="24">
        <v>31.45</v>
      </c>
      <c r="I177" s="25">
        <f t="shared" si="4"/>
        <v>1332.48</v>
      </c>
      <c r="J177" s="25">
        <f t="shared" si="5"/>
        <v>577.68000000000006</v>
      </c>
    </row>
    <row r="178" spans="1:10" x14ac:dyDescent="0.35">
      <c r="A178" s="22">
        <v>46122</v>
      </c>
      <c r="B178" s="23" t="s">
        <v>223</v>
      </c>
      <c r="C178" s="23" t="s">
        <v>32</v>
      </c>
      <c r="D178" s="23" t="s">
        <v>47</v>
      </c>
      <c r="E178" s="23" t="s">
        <v>42</v>
      </c>
      <c r="F178" s="23">
        <v>16</v>
      </c>
      <c r="G178" s="24">
        <v>112.03</v>
      </c>
      <c r="H178" s="24">
        <v>24.72</v>
      </c>
      <c r="I178" s="25">
        <f t="shared" si="4"/>
        <v>1792.48</v>
      </c>
      <c r="J178" s="25">
        <f t="shared" si="5"/>
        <v>1396.96</v>
      </c>
    </row>
    <row r="179" spans="1:10" x14ac:dyDescent="0.35">
      <c r="A179" s="22">
        <v>46123</v>
      </c>
      <c r="B179" s="23" t="s">
        <v>224</v>
      </c>
      <c r="C179" s="23" t="s">
        <v>49</v>
      </c>
      <c r="D179" s="23" t="s">
        <v>55</v>
      </c>
      <c r="E179" s="23" t="s">
        <v>61</v>
      </c>
      <c r="F179" s="23">
        <v>6</v>
      </c>
      <c r="G179" s="24">
        <v>335.9</v>
      </c>
      <c r="H179" s="24">
        <v>229.31</v>
      </c>
      <c r="I179" s="25">
        <f t="shared" si="4"/>
        <v>2015.3999999999999</v>
      </c>
      <c r="J179" s="25">
        <f t="shared" si="5"/>
        <v>639.53999999999974</v>
      </c>
    </row>
    <row r="180" spans="1:10" x14ac:dyDescent="0.35">
      <c r="A180" s="22">
        <v>46124</v>
      </c>
      <c r="B180" s="23" t="s">
        <v>225</v>
      </c>
      <c r="C180" s="23" t="s">
        <v>32</v>
      </c>
      <c r="D180" s="23" t="s">
        <v>33</v>
      </c>
      <c r="E180" s="23" t="s">
        <v>40</v>
      </c>
      <c r="F180" s="23">
        <v>11</v>
      </c>
      <c r="G180" s="24">
        <v>340.94</v>
      </c>
      <c r="H180" s="24">
        <v>149.59</v>
      </c>
      <c r="I180" s="25">
        <f t="shared" si="4"/>
        <v>3750.34</v>
      </c>
      <c r="J180" s="25">
        <f t="shared" si="5"/>
        <v>2104.8500000000004</v>
      </c>
    </row>
    <row r="181" spans="1:10" x14ac:dyDescent="0.35">
      <c r="A181" s="22">
        <v>46128</v>
      </c>
      <c r="B181" s="23" t="s">
        <v>226</v>
      </c>
      <c r="C181" s="23" t="s">
        <v>44</v>
      </c>
      <c r="D181" s="23" t="s">
        <v>57</v>
      </c>
      <c r="E181" s="23" t="s">
        <v>61</v>
      </c>
      <c r="F181" s="23">
        <v>11</v>
      </c>
      <c r="G181" s="24">
        <v>664.64</v>
      </c>
      <c r="H181" s="24">
        <v>450.13</v>
      </c>
      <c r="I181" s="25">
        <f t="shared" si="4"/>
        <v>7311.04</v>
      </c>
      <c r="J181" s="25">
        <f t="shared" si="5"/>
        <v>2359.6099999999997</v>
      </c>
    </row>
    <row r="182" spans="1:10" x14ac:dyDescent="0.35">
      <c r="A182" s="22">
        <v>46129</v>
      </c>
      <c r="B182" s="23" t="s">
        <v>227</v>
      </c>
      <c r="C182" s="23" t="s">
        <v>32</v>
      </c>
      <c r="D182" s="23" t="s">
        <v>33</v>
      </c>
      <c r="E182" s="23" t="s">
        <v>34</v>
      </c>
      <c r="F182" s="23">
        <v>71</v>
      </c>
      <c r="G182" s="24">
        <v>34.270000000000003</v>
      </c>
      <c r="H182" s="24">
        <v>19.46</v>
      </c>
      <c r="I182" s="25">
        <f t="shared" si="4"/>
        <v>2433.17</v>
      </c>
      <c r="J182" s="25">
        <f t="shared" si="5"/>
        <v>1051.51</v>
      </c>
    </row>
    <row r="183" spans="1:10" x14ac:dyDescent="0.35">
      <c r="A183" s="22">
        <v>46130</v>
      </c>
      <c r="B183" s="23" t="s">
        <v>228</v>
      </c>
      <c r="C183" s="23" t="s">
        <v>32</v>
      </c>
      <c r="D183" s="23" t="s">
        <v>47</v>
      </c>
      <c r="E183" s="23" t="s">
        <v>61</v>
      </c>
      <c r="F183" s="23">
        <v>8</v>
      </c>
      <c r="G183" s="24">
        <v>429.32</v>
      </c>
      <c r="H183" s="24">
        <v>305.61</v>
      </c>
      <c r="I183" s="25">
        <f t="shared" si="4"/>
        <v>3434.56</v>
      </c>
      <c r="J183" s="25">
        <f t="shared" si="5"/>
        <v>989.67999999999984</v>
      </c>
    </row>
    <row r="184" spans="1:10" x14ac:dyDescent="0.35">
      <c r="A184" s="22">
        <v>46131</v>
      </c>
      <c r="B184" s="23" t="s">
        <v>229</v>
      </c>
      <c r="C184" s="23" t="s">
        <v>32</v>
      </c>
      <c r="D184" s="23" t="s">
        <v>33</v>
      </c>
      <c r="E184" s="23" t="s">
        <v>34</v>
      </c>
      <c r="F184" s="23">
        <v>60</v>
      </c>
      <c r="G184" s="24">
        <v>37.14</v>
      </c>
      <c r="H184" s="24">
        <v>21.4</v>
      </c>
      <c r="I184" s="25">
        <f t="shared" si="4"/>
        <v>2228.4</v>
      </c>
      <c r="J184" s="25">
        <f t="shared" si="5"/>
        <v>944.40000000000009</v>
      </c>
    </row>
    <row r="185" spans="1:10" x14ac:dyDescent="0.35">
      <c r="A185" s="22">
        <v>46132</v>
      </c>
      <c r="B185" s="23" t="s">
        <v>230</v>
      </c>
      <c r="C185" s="23" t="s">
        <v>49</v>
      </c>
      <c r="D185" s="23" t="s">
        <v>50</v>
      </c>
      <c r="E185" s="23" t="s">
        <v>34</v>
      </c>
      <c r="F185" s="23">
        <v>39</v>
      </c>
      <c r="G185" s="24">
        <v>82.72</v>
      </c>
      <c r="H185" s="24">
        <v>46.75</v>
      </c>
      <c r="I185" s="25">
        <f t="shared" si="4"/>
        <v>3226.08</v>
      </c>
      <c r="J185" s="25">
        <f t="shared" si="5"/>
        <v>1402.83</v>
      </c>
    </row>
    <row r="186" spans="1:10" x14ac:dyDescent="0.35">
      <c r="A186" s="22">
        <v>46132</v>
      </c>
      <c r="B186" s="23" t="s">
        <v>231</v>
      </c>
      <c r="C186" s="23" t="s">
        <v>32</v>
      </c>
      <c r="D186" s="23" t="s">
        <v>47</v>
      </c>
      <c r="E186" s="23" t="s">
        <v>61</v>
      </c>
      <c r="F186" s="23">
        <v>12</v>
      </c>
      <c r="G186" s="24">
        <v>373.59</v>
      </c>
      <c r="H186" s="24">
        <v>247.71</v>
      </c>
      <c r="I186" s="25">
        <f t="shared" si="4"/>
        <v>4483.08</v>
      </c>
      <c r="J186" s="25">
        <f t="shared" si="5"/>
        <v>1510.56</v>
      </c>
    </row>
    <row r="187" spans="1:10" x14ac:dyDescent="0.35">
      <c r="A187" s="22">
        <v>46132</v>
      </c>
      <c r="B187" s="23" t="s">
        <v>232</v>
      </c>
      <c r="C187" s="23" t="s">
        <v>44</v>
      </c>
      <c r="D187" s="23" t="s">
        <v>45</v>
      </c>
      <c r="E187" s="23" t="s">
        <v>40</v>
      </c>
      <c r="F187" s="23">
        <v>11</v>
      </c>
      <c r="G187" s="24">
        <v>435.93</v>
      </c>
      <c r="H187" s="24">
        <v>195.47</v>
      </c>
      <c r="I187" s="25">
        <f t="shared" si="4"/>
        <v>4795.2300000000005</v>
      </c>
      <c r="J187" s="25">
        <f t="shared" si="5"/>
        <v>2645.0600000000004</v>
      </c>
    </row>
    <row r="188" spans="1:10" x14ac:dyDescent="0.35">
      <c r="A188" s="22">
        <v>46133</v>
      </c>
      <c r="B188" s="23" t="s">
        <v>233</v>
      </c>
      <c r="C188" s="23" t="s">
        <v>49</v>
      </c>
      <c r="D188" s="23" t="s">
        <v>55</v>
      </c>
      <c r="E188" s="23" t="s">
        <v>61</v>
      </c>
      <c r="F188" s="23">
        <v>8</v>
      </c>
      <c r="G188" s="24">
        <v>279.48</v>
      </c>
      <c r="H188" s="24">
        <v>181.25</v>
      </c>
      <c r="I188" s="25">
        <f t="shared" si="4"/>
        <v>2235.84</v>
      </c>
      <c r="J188" s="25">
        <f t="shared" si="5"/>
        <v>785.84000000000015</v>
      </c>
    </row>
    <row r="189" spans="1:10" x14ac:dyDescent="0.35">
      <c r="A189" s="22">
        <v>46134</v>
      </c>
      <c r="B189" s="23" t="s">
        <v>234</v>
      </c>
      <c r="C189" s="23" t="s">
        <v>44</v>
      </c>
      <c r="D189" s="23" t="s">
        <v>45</v>
      </c>
      <c r="E189" s="23" t="s">
        <v>42</v>
      </c>
      <c r="F189" s="23">
        <v>25</v>
      </c>
      <c r="G189" s="24">
        <v>216.3</v>
      </c>
      <c r="H189" s="24">
        <v>49.69</v>
      </c>
      <c r="I189" s="25">
        <f t="shared" si="4"/>
        <v>5407.5</v>
      </c>
      <c r="J189" s="25">
        <f t="shared" si="5"/>
        <v>4165.25</v>
      </c>
    </row>
    <row r="190" spans="1:10" x14ac:dyDescent="0.35">
      <c r="A190" s="22">
        <v>46134</v>
      </c>
      <c r="B190" s="23" t="s">
        <v>235</v>
      </c>
      <c r="C190" s="23" t="s">
        <v>49</v>
      </c>
      <c r="D190" s="23" t="s">
        <v>55</v>
      </c>
      <c r="E190" s="23" t="s">
        <v>40</v>
      </c>
      <c r="F190" s="23">
        <v>5</v>
      </c>
      <c r="G190" s="24">
        <v>476.97</v>
      </c>
      <c r="H190" s="24">
        <v>222.91</v>
      </c>
      <c r="I190" s="25">
        <f t="shared" si="4"/>
        <v>2384.8500000000004</v>
      </c>
      <c r="J190" s="25">
        <f t="shared" si="5"/>
        <v>1270.3000000000004</v>
      </c>
    </row>
    <row r="191" spans="1:10" x14ac:dyDescent="0.35">
      <c r="A191" s="22">
        <v>46134</v>
      </c>
      <c r="B191" s="23" t="s">
        <v>236</v>
      </c>
      <c r="C191" s="23" t="s">
        <v>36</v>
      </c>
      <c r="D191" s="23" t="s">
        <v>37</v>
      </c>
      <c r="E191" s="23" t="s">
        <v>61</v>
      </c>
      <c r="F191" s="23">
        <v>10</v>
      </c>
      <c r="G191" s="24">
        <v>482.86</v>
      </c>
      <c r="H191" s="24">
        <v>337.82</v>
      </c>
      <c r="I191" s="25">
        <f t="shared" si="4"/>
        <v>4828.6000000000004</v>
      </c>
      <c r="J191" s="25">
        <f t="shared" si="5"/>
        <v>1450.4000000000005</v>
      </c>
    </row>
    <row r="192" spans="1:10" x14ac:dyDescent="0.35">
      <c r="A192" s="22">
        <v>46136</v>
      </c>
      <c r="B192" s="23" t="s">
        <v>237</v>
      </c>
      <c r="C192" s="23" t="s">
        <v>32</v>
      </c>
      <c r="D192" s="23" t="s">
        <v>33</v>
      </c>
      <c r="E192" s="23" t="s">
        <v>40</v>
      </c>
      <c r="F192" s="23">
        <v>5</v>
      </c>
      <c r="G192" s="24">
        <v>520.09</v>
      </c>
      <c r="H192" s="24">
        <v>244.35</v>
      </c>
      <c r="I192" s="25">
        <f t="shared" si="4"/>
        <v>2600.4500000000003</v>
      </c>
      <c r="J192" s="25">
        <f t="shared" si="5"/>
        <v>1378.7000000000003</v>
      </c>
    </row>
    <row r="193" spans="1:10" x14ac:dyDescent="0.35">
      <c r="A193" s="22">
        <v>46137</v>
      </c>
      <c r="B193" s="23" t="s">
        <v>238</v>
      </c>
      <c r="C193" s="23" t="s">
        <v>44</v>
      </c>
      <c r="D193" s="23" t="s">
        <v>57</v>
      </c>
      <c r="E193" s="23" t="s">
        <v>40</v>
      </c>
      <c r="F193" s="23">
        <v>11</v>
      </c>
      <c r="G193" s="24">
        <v>556.53</v>
      </c>
      <c r="H193" s="24">
        <v>254.1</v>
      </c>
      <c r="I193" s="25">
        <f t="shared" si="4"/>
        <v>6121.83</v>
      </c>
      <c r="J193" s="25">
        <f t="shared" si="5"/>
        <v>3326.73</v>
      </c>
    </row>
    <row r="194" spans="1:10" x14ac:dyDescent="0.35">
      <c r="A194" s="22">
        <v>46138</v>
      </c>
      <c r="B194" s="23" t="s">
        <v>239</v>
      </c>
      <c r="C194" s="23" t="s">
        <v>49</v>
      </c>
      <c r="D194" s="23" t="s">
        <v>50</v>
      </c>
      <c r="E194" s="23" t="s">
        <v>61</v>
      </c>
      <c r="F194" s="23">
        <v>5</v>
      </c>
      <c r="G194" s="24">
        <v>487.16</v>
      </c>
      <c r="H194" s="24">
        <v>319.06</v>
      </c>
      <c r="I194" s="25">
        <f t="shared" ref="I194:I257" si="6">F194*G194</f>
        <v>2435.8000000000002</v>
      </c>
      <c r="J194" s="25">
        <f t="shared" ref="J194:J257" si="7">I194-F194*H194</f>
        <v>840.50000000000023</v>
      </c>
    </row>
    <row r="195" spans="1:10" x14ac:dyDescent="0.35">
      <c r="A195" s="22">
        <v>46138</v>
      </c>
      <c r="B195" s="23" t="s">
        <v>240</v>
      </c>
      <c r="C195" s="23" t="s">
        <v>32</v>
      </c>
      <c r="D195" s="23" t="s">
        <v>33</v>
      </c>
      <c r="E195" s="23" t="s">
        <v>40</v>
      </c>
      <c r="F195" s="23">
        <v>4</v>
      </c>
      <c r="G195" s="24">
        <v>302.42</v>
      </c>
      <c r="H195" s="24">
        <v>130.85</v>
      </c>
      <c r="I195" s="25">
        <f t="shared" si="6"/>
        <v>1209.68</v>
      </c>
      <c r="J195" s="25">
        <f t="shared" si="7"/>
        <v>686.28000000000009</v>
      </c>
    </row>
    <row r="196" spans="1:10" x14ac:dyDescent="0.35">
      <c r="A196" s="22">
        <v>46139</v>
      </c>
      <c r="B196" s="23" t="s">
        <v>241</v>
      </c>
      <c r="C196" s="23" t="s">
        <v>49</v>
      </c>
      <c r="D196" s="23" t="s">
        <v>50</v>
      </c>
      <c r="E196" s="23" t="s">
        <v>40</v>
      </c>
      <c r="F196" s="23">
        <v>13</v>
      </c>
      <c r="G196" s="24">
        <v>572.57000000000005</v>
      </c>
      <c r="H196" s="24">
        <v>251.98</v>
      </c>
      <c r="I196" s="25">
        <f t="shared" si="6"/>
        <v>7443.4100000000008</v>
      </c>
      <c r="J196" s="25">
        <f t="shared" si="7"/>
        <v>4167.670000000001</v>
      </c>
    </row>
    <row r="197" spans="1:10" x14ac:dyDescent="0.35">
      <c r="A197" s="22">
        <v>46144</v>
      </c>
      <c r="B197" s="23" t="s">
        <v>242</v>
      </c>
      <c r="C197" s="23" t="s">
        <v>32</v>
      </c>
      <c r="D197" s="23" t="s">
        <v>47</v>
      </c>
      <c r="E197" s="23" t="s">
        <v>40</v>
      </c>
      <c r="F197" s="23">
        <v>15</v>
      </c>
      <c r="G197" s="24">
        <v>334.86</v>
      </c>
      <c r="H197" s="24">
        <v>156.32</v>
      </c>
      <c r="I197" s="25">
        <f t="shared" si="6"/>
        <v>5022.9000000000005</v>
      </c>
      <c r="J197" s="25">
        <f t="shared" si="7"/>
        <v>2678.1000000000008</v>
      </c>
    </row>
    <row r="198" spans="1:10" x14ac:dyDescent="0.35">
      <c r="A198" s="22">
        <v>46145</v>
      </c>
      <c r="B198" s="23" t="s">
        <v>243</v>
      </c>
      <c r="C198" s="23" t="s">
        <v>49</v>
      </c>
      <c r="D198" s="23" t="s">
        <v>55</v>
      </c>
      <c r="E198" s="23" t="s">
        <v>61</v>
      </c>
      <c r="F198" s="23">
        <v>9</v>
      </c>
      <c r="G198" s="24">
        <v>730.22</v>
      </c>
      <c r="H198" s="24">
        <v>512.03</v>
      </c>
      <c r="I198" s="25">
        <f t="shared" si="6"/>
        <v>6571.9800000000005</v>
      </c>
      <c r="J198" s="25">
        <f t="shared" si="7"/>
        <v>1963.7100000000009</v>
      </c>
    </row>
    <row r="199" spans="1:10" x14ac:dyDescent="0.35">
      <c r="A199" s="22">
        <v>46145</v>
      </c>
      <c r="B199" s="23" t="s">
        <v>244</v>
      </c>
      <c r="C199" s="23" t="s">
        <v>44</v>
      </c>
      <c r="D199" s="23" t="s">
        <v>45</v>
      </c>
      <c r="E199" s="23" t="s">
        <v>42</v>
      </c>
      <c r="F199" s="23">
        <v>24</v>
      </c>
      <c r="G199" s="24">
        <v>179.8</v>
      </c>
      <c r="H199" s="24">
        <v>38.200000000000003</v>
      </c>
      <c r="I199" s="25">
        <f t="shared" si="6"/>
        <v>4315.2000000000007</v>
      </c>
      <c r="J199" s="25">
        <f t="shared" si="7"/>
        <v>3398.4000000000005</v>
      </c>
    </row>
    <row r="200" spans="1:10" x14ac:dyDescent="0.35">
      <c r="A200" s="22">
        <v>46146</v>
      </c>
      <c r="B200" s="23" t="s">
        <v>245</v>
      </c>
      <c r="C200" s="23" t="s">
        <v>36</v>
      </c>
      <c r="D200" s="23" t="s">
        <v>39</v>
      </c>
      <c r="E200" s="23" t="s">
        <v>42</v>
      </c>
      <c r="F200" s="23">
        <v>11</v>
      </c>
      <c r="G200" s="24">
        <v>251.16</v>
      </c>
      <c r="H200" s="24">
        <v>55.33</v>
      </c>
      <c r="I200" s="25">
        <f t="shared" si="6"/>
        <v>2762.7599999999998</v>
      </c>
      <c r="J200" s="25">
        <f t="shared" si="7"/>
        <v>2154.1299999999997</v>
      </c>
    </row>
    <row r="201" spans="1:10" x14ac:dyDescent="0.35">
      <c r="A201" s="22">
        <v>46146</v>
      </c>
      <c r="B201" s="23" t="s">
        <v>246</v>
      </c>
      <c r="C201" s="23" t="s">
        <v>32</v>
      </c>
      <c r="D201" s="23" t="s">
        <v>47</v>
      </c>
      <c r="E201" s="23" t="s">
        <v>42</v>
      </c>
      <c r="F201" s="23">
        <v>36</v>
      </c>
      <c r="G201" s="24">
        <v>142.31</v>
      </c>
      <c r="H201" s="24">
        <v>31.87</v>
      </c>
      <c r="I201" s="25">
        <f t="shared" si="6"/>
        <v>5123.16</v>
      </c>
      <c r="J201" s="25">
        <f t="shared" si="7"/>
        <v>3975.84</v>
      </c>
    </row>
    <row r="202" spans="1:10" x14ac:dyDescent="0.35">
      <c r="A202" s="22">
        <v>46147</v>
      </c>
      <c r="B202" s="23" t="s">
        <v>247</v>
      </c>
      <c r="C202" s="23" t="s">
        <v>44</v>
      </c>
      <c r="D202" s="23" t="s">
        <v>57</v>
      </c>
      <c r="E202" s="23" t="s">
        <v>40</v>
      </c>
      <c r="F202" s="23">
        <v>16</v>
      </c>
      <c r="G202" s="24">
        <v>172.39</v>
      </c>
      <c r="H202" s="24">
        <v>74.33</v>
      </c>
      <c r="I202" s="25">
        <f t="shared" si="6"/>
        <v>2758.24</v>
      </c>
      <c r="J202" s="25">
        <f t="shared" si="7"/>
        <v>1568.9599999999998</v>
      </c>
    </row>
    <row r="203" spans="1:10" x14ac:dyDescent="0.35">
      <c r="A203" s="22">
        <v>46148</v>
      </c>
      <c r="B203" s="23" t="s">
        <v>248</v>
      </c>
      <c r="C203" s="23" t="s">
        <v>32</v>
      </c>
      <c r="D203" s="23" t="s">
        <v>33</v>
      </c>
      <c r="E203" s="23" t="s">
        <v>40</v>
      </c>
      <c r="F203" s="23">
        <v>2</v>
      </c>
      <c r="G203" s="24">
        <v>289.04000000000002</v>
      </c>
      <c r="H203" s="24">
        <v>127.98</v>
      </c>
      <c r="I203" s="25">
        <f t="shared" si="6"/>
        <v>578.08000000000004</v>
      </c>
      <c r="J203" s="25">
        <f t="shared" si="7"/>
        <v>322.12</v>
      </c>
    </row>
    <row r="204" spans="1:10" x14ac:dyDescent="0.35">
      <c r="A204" s="22">
        <v>46148</v>
      </c>
      <c r="B204" s="23" t="s">
        <v>249</v>
      </c>
      <c r="C204" s="23" t="s">
        <v>44</v>
      </c>
      <c r="D204" s="23" t="s">
        <v>57</v>
      </c>
      <c r="E204" s="23" t="s">
        <v>40</v>
      </c>
      <c r="F204" s="23">
        <v>2</v>
      </c>
      <c r="G204" s="24">
        <v>330.35</v>
      </c>
      <c r="H204" s="24">
        <v>143.33000000000001</v>
      </c>
      <c r="I204" s="25">
        <f t="shared" si="6"/>
        <v>660.7</v>
      </c>
      <c r="J204" s="25">
        <f t="shared" si="7"/>
        <v>374.04</v>
      </c>
    </row>
    <row r="205" spans="1:10" x14ac:dyDescent="0.35">
      <c r="A205" s="22">
        <v>46149</v>
      </c>
      <c r="B205" s="23" t="s">
        <v>250</v>
      </c>
      <c r="C205" s="23" t="s">
        <v>44</v>
      </c>
      <c r="D205" s="23" t="s">
        <v>57</v>
      </c>
      <c r="E205" s="23" t="s">
        <v>40</v>
      </c>
      <c r="F205" s="23">
        <v>19</v>
      </c>
      <c r="G205" s="24">
        <v>250.91</v>
      </c>
      <c r="H205" s="24">
        <v>108.49</v>
      </c>
      <c r="I205" s="25">
        <f t="shared" si="6"/>
        <v>4767.29</v>
      </c>
      <c r="J205" s="25">
        <f t="shared" si="7"/>
        <v>2705.98</v>
      </c>
    </row>
    <row r="206" spans="1:10" x14ac:dyDescent="0.35">
      <c r="A206" s="22">
        <v>46149</v>
      </c>
      <c r="B206" s="23" t="s">
        <v>251</v>
      </c>
      <c r="C206" s="23" t="s">
        <v>32</v>
      </c>
      <c r="D206" s="23" t="s">
        <v>33</v>
      </c>
      <c r="E206" s="23" t="s">
        <v>34</v>
      </c>
      <c r="F206" s="23">
        <v>47</v>
      </c>
      <c r="G206" s="24">
        <v>72.55</v>
      </c>
      <c r="H206" s="24">
        <v>40.96</v>
      </c>
      <c r="I206" s="25">
        <f t="shared" si="6"/>
        <v>3409.85</v>
      </c>
      <c r="J206" s="25">
        <f t="shared" si="7"/>
        <v>1484.7299999999998</v>
      </c>
    </row>
    <row r="207" spans="1:10" x14ac:dyDescent="0.35">
      <c r="A207" s="22">
        <v>46152</v>
      </c>
      <c r="B207" s="23" t="s">
        <v>252</v>
      </c>
      <c r="C207" s="23" t="s">
        <v>49</v>
      </c>
      <c r="D207" s="23" t="s">
        <v>50</v>
      </c>
      <c r="E207" s="23" t="s">
        <v>40</v>
      </c>
      <c r="F207" s="23">
        <v>14</v>
      </c>
      <c r="G207" s="24">
        <v>164.02</v>
      </c>
      <c r="H207" s="24">
        <v>77.489999999999995</v>
      </c>
      <c r="I207" s="25">
        <f t="shared" si="6"/>
        <v>2296.2800000000002</v>
      </c>
      <c r="J207" s="25">
        <f t="shared" si="7"/>
        <v>1211.4200000000003</v>
      </c>
    </row>
    <row r="208" spans="1:10" x14ac:dyDescent="0.35">
      <c r="A208" s="22">
        <v>46153</v>
      </c>
      <c r="B208" s="23" t="s">
        <v>253</v>
      </c>
      <c r="C208" s="23" t="s">
        <v>36</v>
      </c>
      <c r="D208" s="23" t="s">
        <v>37</v>
      </c>
      <c r="E208" s="23" t="s">
        <v>61</v>
      </c>
      <c r="F208" s="23">
        <v>9</v>
      </c>
      <c r="G208" s="24">
        <v>284.06</v>
      </c>
      <c r="H208" s="24">
        <v>197.83</v>
      </c>
      <c r="I208" s="25">
        <f t="shared" si="6"/>
        <v>2556.54</v>
      </c>
      <c r="J208" s="25">
        <f t="shared" si="7"/>
        <v>776.06999999999994</v>
      </c>
    </row>
    <row r="209" spans="1:10" x14ac:dyDescent="0.35">
      <c r="A209" s="22">
        <v>46153</v>
      </c>
      <c r="B209" s="23" t="s">
        <v>254</v>
      </c>
      <c r="C209" s="23" t="s">
        <v>44</v>
      </c>
      <c r="D209" s="23" t="s">
        <v>57</v>
      </c>
      <c r="E209" s="23" t="s">
        <v>61</v>
      </c>
      <c r="F209" s="23">
        <v>9</v>
      </c>
      <c r="G209" s="24">
        <v>428.76</v>
      </c>
      <c r="H209" s="24">
        <v>295.44</v>
      </c>
      <c r="I209" s="25">
        <f t="shared" si="6"/>
        <v>3858.84</v>
      </c>
      <c r="J209" s="25">
        <f t="shared" si="7"/>
        <v>1199.8800000000001</v>
      </c>
    </row>
    <row r="210" spans="1:10" x14ac:dyDescent="0.35">
      <c r="A210" s="22">
        <v>46153</v>
      </c>
      <c r="B210" s="23" t="s">
        <v>255</v>
      </c>
      <c r="C210" s="23" t="s">
        <v>36</v>
      </c>
      <c r="D210" s="23" t="s">
        <v>39</v>
      </c>
      <c r="E210" s="23" t="s">
        <v>61</v>
      </c>
      <c r="F210" s="23">
        <v>7</v>
      </c>
      <c r="G210" s="24">
        <v>735.56</v>
      </c>
      <c r="H210" s="24">
        <v>483.96</v>
      </c>
      <c r="I210" s="25">
        <f t="shared" si="6"/>
        <v>5148.92</v>
      </c>
      <c r="J210" s="25">
        <f t="shared" si="7"/>
        <v>1761.2000000000003</v>
      </c>
    </row>
    <row r="211" spans="1:10" x14ac:dyDescent="0.35">
      <c r="A211" s="22">
        <v>46154</v>
      </c>
      <c r="B211" s="23" t="s">
        <v>256</v>
      </c>
      <c r="C211" s="23" t="s">
        <v>44</v>
      </c>
      <c r="D211" s="23" t="s">
        <v>57</v>
      </c>
      <c r="E211" s="23" t="s">
        <v>40</v>
      </c>
      <c r="F211" s="23">
        <v>4</v>
      </c>
      <c r="G211" s="24">
        <v>363.42</v>
      </c>
      <c r="H211" s="24">
        <v>156.85</v>
      </c>
      <c r="I211" s="25">
        <f t="shared" si="6"/>
        <v>1453.68</v>
      </c>
      <c r="J211" s="25">
        <f t="shared" si="7"/>
        <v>826.28000000000009</v>
      </c>
    </row>
    <row r="212" spans="1:10" x14ac:dyDescent="0.35">
      <c r="A212" s="22">
        <v>46154</v>
      </c>
      <c r="B212" s="23" t="s">
        <v>257</v>
      </c>
      <c r="C212" s="23" t="s">
        <v>36</v>
      </c>
      <c r="D212" s="23" t="s">
        <v>39</v>
      </c>
      <c r="E212" s="23" t="s">
        <v>40</v>
      </c>
      <c r="F212" s="23">
        <v>19</v>
      </c>
      <c r="G212" s="24">
        <v>408.35</v>
      </c>
      <c r="H212" s="24">
        <v>189.4</v>
      </c>
      <c r="I212" s="25">
        <f t="shared" si="6"/>
        <v>7758.6500000000005</v>
      </c>
      <c r="J212" s="25">
        <f t="shared" si="7"/>
        <v>4160.0500000000011</v>
      </c>
    </row>
    <row r="213" spans="1:10" x14ac:dyDescent="0.35">
      <c r="A213" s="22">
        <v>46155</v>
      </c>
      <c r="B213" s="23" t="s">
        <v>258</v>
      </c>
      <c r="C213" s="23" t="s">
        <v>49</v>
      </c>
      <c r="D213" s="23" t="s">
        <v>55</v>
      </c>
      <c r="E213" s="23" t="s">
        <v>40</v>
      </c>
      <c r="F213" s="23">
        <v>10</v>
      </c>
      <c r="G213" s="24">
        <v>290.64999999999998</v>
      </c>
      <c r="H213" s="24">
        <v>128.34</v>
      </c>
      <c r="I213" s="25">
        <f t="shared" si="6"/>
        <v>2906.5</v>
      </c>
      <c r="J213" s="25">
        <f t="shared" si="7"/>
        <v>1623.1</v>
      </c>
    </row>
    <row r="214" spans="1:10" x14ac:dyDescent="0.35">
      <c r="A214" s="22">
        <v>46155</v>
      </c>
      <c r="B214" s="23" t="s">
        <v>259</v>
      </c>
      <c r="C214" s="23" t="s">
        <v>36</v>
      </c>
      <c r="D214" s="23" t="s">
        <v>37</v>
      </c>
      <c r="E214" s="23" t="s">
        <v>42</v>
      </c>
      <c r="F214" s="23">
        <v>25</v>
      </c>
      <c r="G214" s="24">
        <v>181.15</v>
      </c>
      <c r="H214" s="24">
        <v>38.17</v>
      </c>
      <c r="I214" s="25">
        <f t="shared" si="6"/>
        <v>4528.75</v>
      </c>
      <c r="J214" s="25">
        <f t="shared" si="7"/>
        <v>3574.5</v>
      </c>
    </row>
    <row r="215" spans="1:10" x14ac:dyDescent="0.35">
      <c r="A215" s="22">
        <v>46155</v>
      </c>
      <c r="B215" s="23" t="s">
        <v>260</v>
      </c>
      <c r="C215" s="23" t="s">
        <v>36</v>
      </c>
      <c r="D215" s="23" t="s">
        <v>37</v>
      </c>
      <c r="E215" s="23" t="s">
        <v>34</v>
      </c>
      <c r="F215" s="23">
        <v>68</v>
      </c>
      <c r="G215" s="24">
        <v>27.89</v>
      </c>
      <c r="H215" s="24">
        <v>16.03</v>
      </c>
      <c r="I215" s="25">
        <f t="shared" si="6"/>
        <v>1896.52</v>
      </c>
      <c r="J215" s="25">
        <f t="shared" si="7"/>
        <v>806.48</v>
      </c>
    </row>
    <row r="216" spans="1:10" x14ac:dyDescent="0.35">
      <c r="A216" s="22">
        <v>46155</v>
      </c>
      <c r="B216" s="23" t="s">
        <v>261</v>
      </c>
      <c r="C216" s="23" t="s">
        <v>36</v>
      </c>
      <c r="D216" s="23" t="s">
        <v>39</v>
      </c>
      <c r="E216" s="23" t="s">
        <v>42</v>
      </c>
      <c r="F216" s="23">
        <v>26</v>
      </c>
      <c r="G216" s="24">
        <v>148.26</v>
      </c>
      <c r="H216" s="24">
        <v>32.090000000000003</v>
      </c>
      <c r="I216" s="25">
        <f t="shared" si="6"/>
        <v>3854.7599999999998</v>
      </c>
      <c r="J216" s="25">
        <f t="shared" si="7"/>
        <v>3020.4199999999996</v>
      </c>
    </row>
    <row r="217" spans="1:10" x14ac:dyDescent="0.35">
      <c r="A217" s="22">
        <v>46156</v>
      </c>
      <c r="B217" s="23" t="s">
        <v>262</v>
      </c>
      <c r="C217" s="23" t="s">
        <v>36</v>
      </c>
      <c r="D217" s="23" t="s">
        <v>39</v>
      </c>
      <c r="E217" s="23" t="s">
        <v>42</v>
      </c>
      <c r="F217" s="23">
        <v>10</v>
      </c>
      <c r="G217" s="24">
        <v>280.13</v>
      </c>
      <c r="H217" s="24">
        <v>59</v>
      </c>
      <c r="I217" s="25">
        <f t="shared" si="6"/>
        <v>2801.3</v>
      </c>
      <c r="J217" s="25">
        <f t="shared" si="7"/>
        <v>2211.3000000000002</v>
      </c>
    </row>
    <row r="218" spans="1:10" x14ac:dyDescent="0.35">
      <c r="A218" s="22">
        <v>46157</v>
      </c>
      <c r="B218" s="23" t="s">
        <v>263</v>
      </c>
      <c r="C218" s="23" t="s">
        <v>44</v>
      </c>
      <c r="D218" s="23" t="s">
        <v>45</v>
      </c>
      <c r="E218" s="23" t="s">
        <v>34</v>
      </c>
      <c r="F218" s="23">
        <v>76</v>
      </c>
      <c r="G218" s="24">
        <v>18.25</v>
      </c>
      <c r="H218" s="24">
        <v>10.32</v>
      </c>
      <c r="I218" s="25">
        <f t="shared" si="6"/>
        <v>1387</v>
      </c>
      <c r="J218" s="25">
        <f t="shared" si="7"/>
        <v>602.67999999999995</v>
      </c>
    </row>
    <row r="219" spans="1:10" x14ac:dyDescent="0.35">
      <c r="A219" s="22">
        <v>46159</v>
      </c>
      <c r="B219" s="23" t="s">
        <v>264</v>
      </c>
      <c r="C219" s="23" t="s">
        <v>32</v>
      </c>
      <c r="D219" s="23" t="s">
        <v>33</v>
      </c>
      <c r="E219" s="23" t="s">
        <v>61</v>
      </c>
      <c r="F219" s="23">
        <v>1</v>
      </c>
      <c r="G219" s="24">
        <v>506.92</v>
      </c>
      <c r="H219" s="24">
        <v>348.13</v>
      </c>
      <c r="I219" s="25">
        <f t="shared" si="6"/>
        <v>506.92</v>
      </c>
      <c r="J219" s="25">
        <f t="shared" si="7"/>
        <v>158.79000000000002</v>
      </c>
    </row>
    <row r="220" spans="1:10" x14ac:dyDescent="0.35">
      <c r="A220" s="22">
        <v>46160</v>
      </c>
      <c r="B220" s="23" t="s">
        <v>265</v>
      </c>
      <c r="C220" s="23" t="s">
        <v>44</v>
      </c>
      <c r="D220" s="23" t="s">
        <v>45</v>
      </c>
      <c r="E220" s="23" t="s">
        <v>42</v>
      </c>
      <c r="F220" s="23">
        <v>9</v>
      </c>
      <c r="G220" s="24">
        <v>263.33999999999997</v>
      </c>
      <c r="H220" s="24">
        <v>59.71</v>
      </c>
      <c r="I220" s="25">
        <f t="shared" si="6"/>
        <v>2370.06</v>
      </c>
      <c r="J220" s="25">
        <f t="shared" si="7"/>
        <v>1832.67</v>
      </c>
    </row>
    <row r="221" spans="1:10" x14ac:dyDescent="0.35">
      <c r="A221" s="22">
        <v>46161</v>
      </c>
      <c r="B221" s="23" t="s">
        <v>266</v>
      </c>
      <c r="C221" s="23" t="s">
        <v>49</v>
      </c>
      <c r="D221" s="23" t="s">
        <v>55</v>
      </c>
      <c r="E221" s="23" t="s">
        <v>40</v>
      </c>
      <c r="F221" s="23">
        <v>5</v>
      </c>
      <c r="G221" s="24">
        <v>469.27</v>
      </c>
      <c r="H221" s="24">
        <v>209.43</v>
      </c>
      <c r="I221" s="25">
        <f t="shared" si="6"/>
        <v>2346.35</v>
      </c>
      <c r="J221" s="25">
        <f t="shared" si="7"/>
        <v>1299.1999999999998</v>
      </c>
    </row>
    <row r="222" spans="1:10" x14ac:dyDescent="0.35">
      <c r="A222" s="22">
        <v>46162</v>
      </c>
      <c r="B222" s="23" t="s">
        <v>267</v>
      </c>
      <c r="C222" s="23" t="s">
        <v>49</v>
      </c>
      <c r="D222" s="23" t="s">
        <v>55</v>
      </c>
      <c r="E222" s="23" t="s">
        <v>61</v>
      </c>
      <c r="F222" s="23">
        <v>11</v>
      </c>
      <c r="G222" s="24">
        <v>706.16</v>
      </c>
      <c r="H222" s="24">
        <v>497.13</v>
      </c>
      <c r="I222" s="25">
        <f t="shared" si="6"/>
        <v>7767.7599999999993</v>
      </c>
      <c r="J222" s="25">
        <f t="shared" si="7"/>
        <v>2299.329999999999</v>
      </c>
    </row>
    <row r="223" spans="1:10" x14ac:dyDescent="0.35">
      <c r="A223" s="22">
        <v>46164</v>
      </c>
      <c r="B223" s="23" t="s">
        <v>268</v>
      </c>
      <c r="C223" s="23" t="s">
        <v>49</v>
      </c>
      <c r="D223" s="23" t="s">
        <v>55</v>
      </c>
      <c r="E223" s="23" t="s">
        <v>42</v>
      </c>
      <c r="F223" s="23">
        <v>37</v>
      </c>
      <c r="G223" s="24">
        <v>177.25</v>
      </c>
      <c r="H223" s="24">
        <v>38.11</v>
      </c>
      <c r="I223" s="25">
        <f t="shared" si="6"/>
        <v>6558.25</v>
      </c>
      <c r="J223" s="25">
        <f t="shared" si="7"/>
        <v>5148.18</v>
      </c>
    </row>
    <row r="224" spans="1:10" x14ac:dyDescent="0.35">
      <c r="A224" s="22">
        <v>46165</v>
      </c>
      <c r="B224" s="23" t="s">
        <v>269</v>
      </c>
      <c r="C224" s="23" t="s">
        <v>32</v>
      </c>
      <c r="D224" s="23" t="s">
        <v>47</v>
      </c>
      <c r="E224" s="23" t="s">
        <v>42</v>
      </c>
      <c r="F224" s="23">
        <v>37</v>
      </c>
      <c r="G224" s="24">
        <v>211.43</v>
      </c>
      <c r="H224" s="24">
        <v>45.56</v>
      </c>
      <c r="I224" s="25">
        <f t="shared" si="6"/>
        <v>7822.91</v>
      </c>
      <c r="J224" s="25">
        <f t="shared" si="7"/>
        <v>6137.19</v>
      </c>
    </row>
    <row r="225" spans="1:10" x14ac:dyDescent="0.35">
      <c r="A225" s="22">
        <v>46166</v>
      </c>
      <c r="B225" s="23" t="s">
        <v>270</v>
      </c>
      <c r="C225" s="23" t="s">
        <v>32</v>
      </c>
      <c r="D225" s="23" t="s">
        <v>47</v>
      </c>
      <c r="E225" s="23" t="s">
        <v>40</v>
      </c>
      <c r="F225" s="23">
        <v>3</v>
      </c>
      <c r="G225" s="24">
        <v>405.42</v>
      </c>
      <c r="H225" s="24">
        <v>174.87</v>
      </c>
      <c r="I225" s="25">
        <f t="shared" si="6"/>
        <v>1216.26</v>
      </c>
      <c r="J225" s="25">
        <f t="shared" si="7"/>
        <v>691.65</v>
      </c>
    </row>
    <row r="226" spans="1:10" x14ac:dyDescent="0.35">
      <c r="A226" s="22">
        <v>46167</v>
      </c>
      <c r="B226" s="23" t="s">
        <v>271</v>
      </c>
      <c r="C226" s="23" t="s">
        <v>44</v>
      </c>
      <c r="D226" s="23" t="s">
        <v>45</v>
      </c>
      <c r="E226" s="23" t="s">
        <v>42</v>
      </c>
      <c r="F226" s="23">
        <v>34</v>
      </c>
      <c r="G226" s="24">
        <v>275.38</v>
      </c>
      <c r="H226" s="24">
        <v>60.06</v>
      </c>
      <c r="I226" s="25">
        <f t="shared" si="6"/>
        <v>9362.92</v>
      </c>
      <c r="J226" s="25">
        <f t="shared" si="7"/>
        <v>7320.88</v>
      </c>
    </row>
    <row r="227" spans="1:10" x14ac:dyDescent="0.35">
      <c r="A227" s="22">
        <v>46167</v>
      </c>
      <c r="B227" s="23" t="s">
        <v>272</v>
      </c>
      <c r="C227" s="23" t="s">
        <v>36</v>
      </c>
      <c r="D227" s="23" t="s">
        <v>37</v>
      </c>
      <c r="E227" s="23" t="s">
        <v>40</v>
      </c>
      <c r="F227" s="23">
        <v>2</v>
      </c>
      <c r="G227" s="24">
        <v>446.02</v>
      </c>
      <c r="H227" s="24">
        <v>204.59</v>
      </c>
      <c r="I227" s="25">
        <f t="shared" si="6"/>
        <v>892.04</v>
      </c>
      <c r="J227" s="25">
        <f t="shared" si="7"/>
        <v>482.85999999999996</v>
      </c>
    </row>
    <row r="228" spans="1:10" x14ac:dyDescent="0.35">
      <c r="A228" s="22">
        <v>46169</v>
      </c>
      <c r="B228" s="23" t="s">
        <v>273</v>
      </c>
      <c r="C228" s="23" t="s">
        <v>32</v>
      </c>
      <c r="D228" s="23" t="s">
        <v>47</v>
      </c>
      <c r="E228" s="23" t="s">
        <v>61</v>
      </c>
      <c r="F228" s="23">
        <v>10</v>
      </c>
      <c r="G228" s="24">
        <v>798.91</v>
      </c>
      <c r="H228" s="24">
        <v>529.30999999999995</v>
      </c>
      <c r="I228" s="25">
        <f t="shared" si="6"/>
        <v>7989.0999999999995</v>
      </c>
      <c r="J228" s="25">
        <f t="shared" si="7"/>
        <v>2696</v>
      </c>
    </row>
    <row r="229" spans="1:10" x14ac:dyDescent="0.35">
      <c r="A229" s="22">
        <v>46170</v>
      </c>
      <c r="B229" s="23" t="s">
        <v>274</v>
      </c>
      <c r="C229" s="23" t="s">
        <v>36</v>
      </c>
      <c r="D229" s="23" t="s">
        <v>37</v>
      </c>
      <c r="E229" s="23" t="s">
        <v>34</v>
      </c>
      <c r="F229" s="23">
        <v>74</v>
      </c>
      <c r="G229" s="24">
        <v>60.03</v>
      </c>
      <c r="H229" s="24">
        <v>32.53</v>
      </c>
      <c r="I229" s="25">
        <f t="shared" si="6"/>
        <v>4442.22</v>
      </c>
      <c r="J229" s="25">
        <f t="shared" si="7"/>
        <v>2035</v>
      </c>
    </row>
    <row r="230" spans="1:10" x14ac:dyDescent="0.35">
      <c r="A230" s="22">
        <v>46174</v>
      </c>
      <c r="B230" s="23" t="s">
        <v>275</v>
      </c>
      <c r="C230" s="23" t="s">
        <v>49</v>
      </c>
      <c r="D230" s="23" t="s">
        <v>55</v>
      </c>
      <c r="E230" s="23" t="s">
        <v>61</v>
      </c>
      <c r="F230" s="23">
        <v>2</v>
      </c>
      <c r="G230" s="24">
        <v>576.29999999999995</v>
      </c>
      <c r="H230" s="24">
        <v>381.53</v>
      </c>
      <c r="I230" s="25">
        <f t="shared" si="6"/>
        <v>1152.5999999999999</v>
      </c>
      <c r="J230" s="25">
        <f t="shared" si="7"/>
        <v>389.53999999999996</v>
      </c>
    </row>
    <row r="231" spans="1:10" x14ac:dyDescent="0.35">
      <c r="A231" s="22">
        <v>46174</v>
      </c>
      <c r="B231" s="23" t="s">
        <v>276</v>
      </c>
      <c r="C231" s="23" t="s">
        <v>32</v>
      </c>
      <c r="D231" s="23" t="s">
        <v>33</v>
      </c>
      <c r="E231" s="23" t="s">
        <v>61</v>
      </c>
      <c r="F231" s="23">
        <v>10</v>
      </c>
      <c r="G231" s="24">
        <v>347.19</v>
      </c>
      <c r="H231" s="24">
        <v>246.48</v>
      </c>
      <c r="I231" s="25">
        <f t="shared" si="6"/>
        <v>3471.9</v>
      </c>
      <c r="J231" s="25">
        <f t="shared" si="7"/>
        <v>1007.1000000000004</v>
      </c>
    </row>
    <row r="232" spans="1:10" x14ac:dyDescent="0.35">
      <c r="A232" s="22">
        <v>46176</v>
      </c>
      <c r="B232" s="23" t="s">
        <v>277</v>
      </c>
      <c r="C232" s="23" t="s">
        <v>44</v>
      </c>
      <c r="D232" s="23" t="s">
        <v>57</v>
      </c>
      <c r="E232" s="23" t="s">
        <v>34</v>
      </c>
      <c r="F232" s="23">
        <v>67</v>
      </c>
      <c r="G232" s="24">
        <v>62.1</v>
      </c>
      <c r="H232" s="24">
        <v>34.03</v>
      </c>
      <c r="I232" s="25">
        <f t="shared" si="6"/>
        <v>4160.7</v>
      </c>
      <c r="J232" s="25">
        <f t="shared" si="7"/>
        <v>1880.6899999999996</v>
      </c>
    </row>
    <row r="233" spans="1:10" x14ac:dyDescent="0.35">
      <c r="A233" s="22">
        <v>46176</v>
      </c>
      <c r="B233" s="23" t="s">
        <v>278</v>
      </c>
      <c r="C233" s="23" t="s">
        <v>36</v>
      </c>
      <c r="D233" s="23" t="s">
        <v>39</v>
      </c>
      <c r="E233" s="23" t="s">
        <v>40</v>
      </c>
      <c r="F233" s="23">
        <v>19</v>
      </c>
      <c r="G233" s="24">
        <v>378.18</v>
      </c>
      <c r="H233" s="24">
        <v>169.55</v>
      </c>
      <c r="I233" s="25">
        <f t="shared" si="6"/>
        <v>7185.42</v>
      </c>
      <c r="J233" s="25">
        <f t="shared" si="7"/>
        <v>3963.97</v>
      </c>
    </row>
    <row r="234" spans="1:10" x14ac:dyDescent="0.35">
      <c r="A234" s="22">
        <v>46178</v>
      </c>
      <c r="B234" s="23" t="s">
        <v>279</v>
      </c>
      <c r="C234" s="23" t="s">
        <v>36</v>
      </c>
      <c r="D234" s="23" t="s">
        <v>39</v>
      </c>
      <c r="E234" s="23" t="s">
        <v>42</v>
      </c>
      <c r="F234" s="23">
        <v>13</v>
      </c>
      <c r="G234" s="24">
        <v>162.87</v>
      </c>
      <c r="H234" s="24">
        <v>36.880000000000003</v>
      </c>
      <c r="I234" s="25">
        <f t="shared" si="6"/>
        <v>2117.31</v>
      </c>
      <c r="J234" s="25">
        <f t="shared" si="7"/>
        <v>1637.87</v>
      </c>
    </row>
    <row r="235" spans="1:10" x14ac:dyDescent="0.35">
      <c r="A235" s="22">
        <v>46178</v>
      </c>
      <c r="B235" s="23" t="s">
        <v>280</v>
      </c>
      <c r="C235" s="23" t="s">
        <v>44</v>
      </c>
      <c r="D235" s="23" t="s">
        <v>57</v>
      </c>
      <c r="E235" s="23" t="s">
        <v>61</v>
      </c>
      <c r="F235" s="23">
        <v>3</v>
      </c>
      <c r="G235" s="24">
        <v>700.35</v>
      </c>
      <c r="H235" s="24">
        <v>482.18</v>
      </c>
      <c r="I235" s="25">
        <f t="shared" si="6"/>
        <v>2101.0500000000002</v>
      </c>
      <c r="J235" s="25">
        <f t="shared" si="7"/>
        <v>654.51000000000022</v>
      </c>
    </row>
    <row r="236" spans="1:10" x14ac:dyDescent="0.35">
      <c r="A236" s="22">
        <v>46181</v>
      </c>
      <c r="B236" s="23" t="s">
        <v>281</v>
      </c>
      <c r="C236" s="23" t="s">
        <v>36</v>
      </c>
      <c r="D236" s="23" t="s">
        <v>39</v>
      </c>
      <c r="E236" s="23" t="s">
        <v>61</v>
      </c>
      <c r="F236" s="23">
        <v>11</v>
      </c>
      <c r="G236" s="24">
        <v>378.23</v>
      </c>
      <c r="H236" s="24">
        <v>259.83</v>
      </c>
      <c r="I236" s="25">
        <f t="shared" si="6"/>
        <v>4160.5300000000007</v>
      </c>
      <c r="J236" s="25">
        <f t="shared" si="7"/>
        <v>1302.400000000001</v>
      </c>
    </row>
    <row r="237" spans="1:10" x14ac:dyDescent="0.35">
      <c r="A237" s="22">
        <v>46181</v>
      </c>
      <c r="B237" s="23" t="s">
        <v>282</v>
      </c>
      <c r="C237" s="23" t="s">
        <v>44</v>
      </c>
      <c r="D237" s="23" t="s">
        <v>57</v>
      </c>
      <c r="E237" s="23" t="s">
        <v>61</v>
      </c>
      <c r="F237" s="23">
        <v>9</v>
      </c>
      <c r="G237" s="24">
        <v>442.26</v>
      </c>
      <c r="H237" s="24">
        <v>309.39999999999998</v>
      </c>
      <c r="I237" s="25">
        <f t="shared" si="6"/>
        <v>3980.34</v>
      </c>
      <c r="J237" s="25">
        <f t="shared" si="7"/>
        <v>1195.7400000000002</v>
      </c>
    </row>
    <row r="238" spans="1:10" x14ac:dyDescent="0.35">
      <c r="A238" s="22">
        <v>46183</v>
      </c>
      <c r="B238" s="23" t="s">
        <v>283</v>
      </c>
      <c r="C238" s="23" t="s">
        <v>44</v>
      </c>
      <c r="D238" s="23" t="s">
        <v>57</v>
      </c>
      <c r="E238" s="23" t="s">
        <v>34</v>
      </c>
      <c r="F238" s="23">
        <v>34</v>
      </c>
      <c r="G238" s="24">
        <v>40.630000000000003</v>
      </c>
      <c r="H238" s="24">
        <v>22.94</v>
      </c>
      <c r="I238" s="25">
        <f t="shared" si="6"/>
        <v>1381.42</v>
      </c>
      <c r="J238" s="25">
        <f t="shared" si="7"/>
        <v>601.46</v>
      </c>
    </row>
    <row r="239" spans="1:10" x14ac:dyDescent="0.35">
      <c r="A239" s="22">
        <v>46183</v>
      </c>
      <c r="B239" s="23" t="s">
        <v>284</v>
      </c>
      <c r="C239" s="23" t="s">
        <v>49</v>
      </c>
      <c r="D239" s="23" t="s">
        <v>50</v>
      </c>
      <c r="E239" s="23" t="s">
        <v>34</v>
      </c>
      <c r="F239" s="23">
        <v>66</v>
      </c>
      <c r="G239" s="24">
        <v>29.55</v>
      </c>
      <c r="H239" s="24">
        <v>16.54</v>
      </c>
      <c r="I239" s="25">
        <f t="shared" si="6"/>
        <v>1950.3</v>
      </c>
      <c r="J239" s="25">
        <f t="shared" si="7"/>
        <v>858.66000000000008</v>
      </c>
    </row>
    <row r="240" spans="1:10" x14ac:dyDescent="0.35">
      <c r="A240" s="22">
        <v>46183</v>
      </c>
      <c r="B240" s="23" t="s">
        <v>285</v>
      </c>
      <c r="C240" s="23" t="s">
        <v>36</v>
      </c>
      <c r="D240" s="23" t="s">
        <v>39</v>
      </c>
      <c r="E240" s="23" t="s">
        <v>40</v>
      </c>
      <c r="F240" s="23">
        <v>6</v>
      </c>
      <c r="G240" s="24">
        <v>272.76</v>
      </c>
      <c r="H240" s="24">
        <v>127.72</v>
      </c>
      <c r="I240" s="25">
        <f t="shared" si="6"/>
        <v>1636.56</v>
      </c>
      <c r="J240" s="25">
        <f t="shared" si="7"/>
        <v>870.24</v>
      </c>
    </row>
    <row r="241" spans="1:10" x14ac:dyDescent="0.35">
      <c r="A241" s="22">
        <v>46184</v>
      </c>
      <c r="B241" s="23" t="s">
        <v>286</v>
      </c>
      <c r="C241" s="23" t="s">
        <v>36</v>
      </c>
      <c r="D241" s="23" t="s">
        <v>39</v>
      </c>
      <c r="E241" s="23" t="s">
        <v>40</v>
      </c>
      <c r="F241" s="23">
        <v>14</v>
      </c>
      <c r="G241" s="24">
        <v>213.64</v>
      </c>
      <c r="H241" s="24">
        <v>94.69</v>
      </c>
      <c r="I241" s="25">
        <f t="shared" si="6"/>
        <v>2990.96</v>
      </c>
      <c r="J241" s="25">
        <f t="shared" si="7"/>
        <v>1665.3000000000002</v>
      </c>
    </row>
    <row r="242" spans="1:10" x14ac:dyDescent="0.35">
      <c r="A242" s="22">
        <v>46184</v>
      </c>
      <c r="B242" s="23" t="s">
        <v>287</v>
      </c>
      <c r="C242" s="23" t="s">
        <v>44</v>
      </c>
      <c r="D242" s="23" t="s">
        <v>57</v>
      </c>
      <c r="E242" s="23" t="s">
        <v>61</v>
      </c>
      <c r="F242" s="23">
        <v>12</v>
      </c>
      <c r="G242" s="24">
        <v>436.47</v>
      </c>
      <c r="H242" s="24">
        <v>306.58999999999997</v>
      </c>
      <c r="I242" s="25">
        <f t="shared" si="6"/>
        <v>5237.6400000000003</v>
      </c>
      <c r="J242" s="25">
        <f t="shared" si="7"/>
        <v>1558.5600000000004</v>
      </c>
    </row>
    <row r="243" spans="1:10" x14ac:dyDescent="0.35">
      <c r="A243" s="22">
        <v>46185</v>
      </c>
      <c r="B243" s="23" t="s">
        <v>288</v>
      </c>
      <c r="C243" s="23" t="s">
        <v>44</v>
      </c>
      <c r="D243" s="23" t="s">
        <v>45</v>
      </c>
      <c r="E243" s="23" t="s">
        <v>61</v>
      </c>
      <c r="F243" s="23">
        <v>11</v>
      </c>
      <c r="G243" s="24">
        <v>855.04</v>
      </c>
      <c r="H243" s="24">
        <v>601.15</v>
      </c>
      <c r="I243" s="25">
        <f t="shared" si="6"/>
        <v>9405.4399999999987</v>
      </c>
      <c r="J243" s="25">
        <f t="shared" si="7"/>
        <v>2792.7899999999991</v>
      </c>
    </row>
    <row r="244" spans="1:10" x14ac:dyDescent="0.35">
      <c r="A244" s="22">
        <v>46188</v>
      </c>
      <c r="B244" s="23" t="s">
        <v>289</v>
      </c>
      <c r="C244" s="23" t="s">
        <v>44</v>
      </c>
      <c r="D244" s="23" t="s">
        <v>57</v>
      </c>
      <c r="E244" s="23" t="s">
        <v>42</v>
      </c>
      <c r="F244" s="23">
        <v>26</v>
      </c>
      <c r="G244" s="24">
        <v>281.95</v>
      </c>
      <c r="H244" s="24">
        <v>61.33</v>
      </c>
      <c r="I244" s="25">
        <f t="shared" si="6"/>
        <v>7330.7</v>
      </c>
      <c r="J244" s="25">
        <f t="shared" si="7"/>
        <v>5736.12</v>
      </c>
    </row>
    <row r="245" spans="1:10" x14ac:dyDescent="0.35">
      <c r="A245" s="22">
        <v>46188</v>
      </c>
      <c r="B245" s="23" t="s">
        <v>290</v>
      </c>
      <c r="C245" s="23" t="s">
        <v>32</v>
      </c>
      <c r="D245" s="23" t="s">
        <v>33</v>
      </c>
      <c r="E245" s="23" t="s">
        <v>40</v>
      </c>
      <c r="F245" s="23">
        <v>7</v>
      </c>
      <c r="G245" s="24">
        <v>376.31</v>
      </c>
      <c r="H245" s="24">
        <v>167.96</v>
      </c>
      <c r="I245" s="25">
        <f t="shared" si="6"/>
        <v>2634.17</v>
      </c>
      <c r="J245" s="25">
        <f t="shared" si="7"/>
        <v>1458.45</v>
      </c>
    </row>
    <row r="246" spans="1:10" x14ac:dyDescent="0.35">
      <c r="A246" s="22">
        <v>46189</v>
      </c>
      <c r="B246" s="23" t="s">
        <v>291</v>
      </c>
      <c r="C246" s="23" t="s">
        <v>49</v>
      </c>
      <c r="D246" s="23" t="s">
        <v>50</v>
      </c>
      <c r="E246" s="23" t="s">
        <v>40</v>
      </c>
      <c r="F246" s="23">
        <v>13</v>
      </c>
      <c r="G246" s="24">
        <v>508.35</v>
      </c>
      <c r="H246" s="24">
        <v>230.85</v>
      </c>
      <c r="I246" s="25">
        <f t="shared" si="6"/>
        <v>6608.55</v>
      </c>
      <c r="J246" s="25">
        <f t="shared" si="7"/>
        <v>3607.5000000000005</v>
      </c>
    </row>
    <row r="247" spans="1:10" x14ac:dyDescent="0.35">
      <c r="A247" s="22">
        <v>46190</v>
      </c>
      <c r="B247" s="23" t="s">
        <v>292</v>
      </c>
      <c r="C247" s="23" t="s">
        <v>36</v>
      </c>
      <c r="D247" s="23" t="s">
        <v>39</v>
      </c>
      <c r="E247" s="23" t="s">
        <v>42</v>
      </c>
      <c r="F247" s="23">
        <v>23</v>
      </c>
      <c r="G247" s="24">
        <v>179.42</v>
      </c>
      <c r="H247" s="24">
        <v>37.72</v>
      </c>
      <c r="I247" s="25">
        <f t="shared" si="6"/>
        <v>4126.66</v>
      </c>
      <c r="J247" s="25">
        <f t="shared" si="7"/>
        <v>3259.1</v>
      </c>
    </row>
    <row r="248" spans="1:10" x14ac:dyDescent="0.35">
      <c r="A248" s="22">
        <v>46190</v>
      </c>
      <c r="B248" s="23" t="s">
        <v>293</v>
      </c>
      <c r="C248" s="23" t="s">
        <v>49</v>
      </c>
      <c r="D248" s="23" t="s">
        <v>55</v>
      </c>
      <c r="E248" s="23" t="s">
        <v>61</v>
      </c>
      <c r="F248" s="23">
        <v>1</v>
      </c>
      <c r="G248" s="24">
        <v>437.27</v>
      </c>
      <c r="H248" s="24">
        <v>291.43</v>
      </c>
      <c r="I248" s="25">
        <f t="shared" si="6"/>
        <v>437.27</v>
      </c>
      <c r="J248" s="25">
        <f t="shared" si="7"/>
        <v>145.83999999999997</v>
      </c>
    </row>
    <row r="249" spans="1:10" x14ac:dyDescent="0.35">
      <c r="A249" s="22">
        <v>46191</v>
      </c>
      <c r="B249" s="23" t="s">
        <v>294</v>
      </c>
      <c r="C249" s="23" t="s">
        <v>49</v>
      </c>
      <c r="D249" s="23" t="s">
        <v>55</v>
      </c>
      <c r="E249" s="23" t="s">
        <v>42</v>
      </c>
      <c r="F249" s="23">
        <v>14</v>
      </c>
      <c r="G249" s="24">
        <v>239.22</v>
      </c>
      <c r="H249" s="24">
        <v>53.45</v>
      </c>
      <c r="I249" s="25">
        <f t="shared" si="6"/>
        <v>3349.08</v>
      </c>
      <c r="J249" s="25">
        <f t="shared" si="7"/>
        <v>2600.7799999999997</v>
      </c>
    </row>
    <row r="250" spans="1:10" x14ac:dyDescent="0.35">
      <c r="A250" s="22">
        <v>46193</v>
      </c>
      <c r="B250" s="23" t="s">
        <v>295</v>
      </c>
      <c r="C250" s="23" t="s">
        <v>49</v>
      </c>
      <c r="D250" s="23" t="s">
        <v>50</v>
      </c>
      <c r="E250" s="23" t="s">
        <v>42</v>
      </c>
      <c r="F250" s="23">
        <v>26</v>
      </c>
      <c r="G250" s="24">
        <v>290.7</v>
      </c>
      <c r="H250" s="24">
        <v>63.64</v>
      </c>
      <c r="I250" s="25">
        <f t="shared" si="6"/>
        <v>7558.2</v>
      </c>
      <c r="J250" s="25">
        <f t="shared" si="7"/>
        <v>5903.5599999999995</v>
      </c>
    </row>
    <row r="251" spans="1:10" x14ac:dyDescent="0.35">
      <c r="A251" s="22">
        <v>46193</v>
      </c>
      <c r="B251" s="23" t="s">
        <v>296</v>
      </c>
      <c r="C251" s="23" t="s">
        <v>32</v>
      </c>
      <c r="D251" s="23" t="s">
        <v>33</v>
      </c>
      <c r="E251" s="23" t="s">
        <v>40</v>
      </c>
      <c r="F251" s="23">
        <v>9</v>
      </c>
      <c r="G251" s="24">
        <v>502.71</v>
      </c>
      <c r="H251" s="24">
        <v>220.2</v>
      </c>
      <c r="I251" s="25">
        <f t="shared" si="6"/>
        <v>4524.3899999999994</v>
      </c>
      <c r="J251" s="25">
        <f t="shared" si="7"/>
        <v>2542.5899999999992</v>
      </c>
    </row>
    <row r="252" spans="1:10" x14ac:dyDescent="0.35">
      <c r="A252" s="22">
        <v>46195</v>
      </c>
      <c r="B252" s="23" t="s">
        <v>297</v>
      </c>
      <c r="C252" s="23" t="s">
        <v>32</v>
      </c>
      <c r="D252" s="23" t="s">
        <v>47</v>
      </c>
      <c r="E252" s="23" t="s">
        <v>34</v>
      </c>
      <c r="F252" s="23">
        <v>18</v>
      </c>
      <c r="G252" s="24">
        <v>62.04</v>
      </c>
      <c r="H252" s="24">
        <v>32.93</v>
      </c>
      <c r="I252" s="25">
        <f t="shared" si="6"/>
        <v>1116.72</v>
      </c>
      <c r="J252" s="25">
        <f t="shared" si="7"/>
        <v>523.98</v>
      </c>
    </row>
    <row r="253" spans="1:10" x14ac:dyDescent="0.35">
      <c r="A253" s="22">
        <v>46195</v>
      </c>
      <c r="B253" s="23" t="s">
        <v>298</v>
      </c>
      <c r="C253" s="23" t="s">
        <v>36</v>
      </c>
      <c r="D253" s="23" t="s">
        <v>37</v>
      </c>
      <c r="E253" s="23" t="s">
        <v>40</v>
      </c>
      <c r="F253" s="23">
        <v>5</v>
      </c>
      <c r="G253" s="24">
        <v>441.29</v>
      </c>
      <c r="H253" s="24">
        <v>189.96</v>
      </c>
      <c r="I253" s="25">
        <f t="shared" si="6"/>
        <v>2206.4500000000003</v>
      </c>
      <c r="J253" s="25">
        <f t="shared" si="7"/>
        <v>1256.6500000000001</v>
      </c>
    </row>
    <row r="254" spans="1:10" x14ac:dyDescent="0.35">
      <c r="A254" s="22">
        <v>46195</v>
      </c>
      <c r="B254" s="23" t="s">
        <v>299</v>
      </c>
      <c r="C254" s="23" t="s">
        <v>36</v>
      </c>
      <c r="D254" s="23" t="s">
        <v>39</v>
      </c>
      <c r="E254" s="23" t="s">
        <v>40</v>
      </c>
      <c r="F254" s="23">
        <v>13</v>
      </c>
      <c r="G254" s="24">
        <v>340.53</v>
      </c>
      <c r="H254" s="24">
        <v>151.12</v>
      </c>
      <c r="I254" s="25">
        <f t="shared" si="6"/>
        <v>4426.8899999999994</v>
      </c>
      <c r="J254" s="25">
        <f t="shared" si="7"/>
        <v>2462.3299999999995</v>
      </c>
    </row>
    <row r="255" spans="1:10" x14ac:dyDescent="0.35">
      <c r="A255" s="22">
        <v>46196</v>
      </c>
      <c r="B255" s="23" t="s">
        <v>300</v>
      </c>
      <c r="C255" s="23" t="s">
        <v>36</v>
      </c>
      <c r="D255" s="23" t="s">
        <v>39</v>
      </c>
      <c r="E255" s="23" t="s">
        <v>42</v>
      </c>
      <c r="F255" s="23">
        <v>33</v>
      </c>
      <c r="G255" s="24">
        <v>117.96</v>
      </c>
      <c r="H255" s="24">
        <v>25.3</v>
      </c>
      <c r="I255" s="25">
        <f t="shared" si="6"/>
        <v>3892.68</v>
      </c>
      <c r="J255" s="25">
        <f t="shared" si="7"/>
        <v>3057.7799999999997</v>
      </c>
    </row>
    <row r="256" spans="1:10" x14ac:dyDescent="0.35">
      <c r="A256" s="22">
        <v>46197</v>
      </c>
      <c r="B256" s="23" t="s">
        <v>301</v>
      </c>
      <c r="C256" s="23" t="s">
        <v>49</v>
      </c>
      <c r="D256" s="23" t="s">
        <v>50</v>
      </c>
      <c r="E256" s="23" t="s">
        <v>61</v>
      </c>
      <c r="F256" s="23">
        <v>8</v>
      </c>
      <c r="G256" s="24">
        <v>486.79</v>
      </c>
      <c r="H256" s="24">
        <v>338.29</v>
      </c>
      <c r="I256" s="25">
        <f t="shared" si="6"/>
        <v>3894.32</v>
      </c>
      <c r="J256" s="25">
        <f t="shared" si="7"/>
        <v>1188</v>
      </c>
    </row>
    <row r="257" spans="1:10" x14ac:dyDescent="0.35">
      <c r="A257" s="22">
        <v>46198</v>
      </c>
      <c r="B257" s="23" t="s">
        <v>302</v>
      </c>
      <c r="C257" s="23" t="s">
        <v>44</v>
      </c>
      <c r="D257" s="23" t="s">
        <v>57</v>
      </c>
      <c r="E257" s="23" t="s">
        <v>61</v>
      </c>
      <c r="F257" s="23">
        <v>4</v>
      </c>
      <c r="G257" s="24">
        <v>661.6</v>
      </c>
      <c r="H257" s="24">
        <v>451.26</v>
      </c>
      <c r="I257" s="25">
        <f t="shared" si="6"/>
        <v>2646.4</v>
      </c>
      <c r="J257" s="25">
        <f t="shared" si="7"/>
        <v>841.36000000000013</v>
      </c>
    </row>
    <row r="258" spans="1:10" x14ac:dyDescent="0.35">
      <c r="A258" s="22">
        <v>46198</v>
      </c>
      <c r="B258" s="23" t="s">
        <v>303</v>
      </c>
      <c r="C258" s="23" t="s">
        <v>32</v>
      </c>
      <c r="D258" s="23" t="s">
        <v>47</v>
      </c>
      <c r="E258" s="23" t="s">
        <v>42</v>
      </c>
      <c r="F258" s="23">
        <v>14</v>
      </c>
      <c r="G258" s="24">
        <v>290.81</v>
      </c>
      <c r="H258" s="24">
        <v>64.91</v>
      </c>
      <c r="I258" s="25">
        <f t="shared" ref="I258:I321" si="8">F258*G258</f>
        <v>4071.34</v>
      </c>
      <c r="J258" s="25">
        <f t="shared" ref="J258:J321" si="9">I258-F258*H258</f>
        <v>3162.6000000000004</v>
      </c>
    </row>
    <row r="259" spans="1:10" x14ac:dyDescent="0.35">
      <c r="A259" s="22">
        <v>46198</v>
      </c>
      <c r="B259" s="23" t="s">
        <v>304</v>
      </c>
      <c r="C259" s="23" t="s">
        <v>36</v>
      </c>
      <c r="D259" s="23" t="s">
        <v>37</v>
      </c>
      <c r="E259" s="23" t="s">
        <v>40</v>
      </c>
      <c r="F259" s="23">
        <v>14</v>
      </c>
      <c r="G259" s="24">
        <v>544.38</v>
      </c>
      <c r="H259" s="24">
        <v>247.86</v>
      </c>
      <c r="I259" s="25">
        <f t="shared" si="8"/>
        <v>7621.32</v>
      </c>
      <c r="J259" s="25">
        <f t="shared" si="9"/>
        <v>4151.28</v>
      </c>
    </row>
    <row r="260" spans="1:10" x14ac:dyDescent="0.35">
      <c r="A260" s="22">
        <v>46199</v>
      </c>
      <c r="B260" s="23" t="s">
        <v>305</v>
      </c>
      <c r="C260" s="23" t="s">
        <v>36</v>
      </c>
      <c r="D260" s="23" t="s">
        <v>37</v>
      </c>
      <c r="E260" s="23" t="s">
        <v>42</v>
      </c>
      <c r="F260" s="23">
        <v>25</v>
      </c>
      <c r="G260" s="24">
        <v>258.16000000000003</v>
      </c>
      <c r="H260" s="24">
        <v>57.66</v>
      </c>
      <c r="I260" s="25">
        <f t="shared" si="8"/>
        <v>6454.0000000000009</v>
      </c>
      <c r="J260" s="25">
        <f t="shared" si="9"/>
        <v>5012.5000000000009</v>
      </c>
    </row>
    <row r="261" spans="1:10" x14ac:dyDescent="0.35">
      <c r="A261" s="22">
        <v>46200</v>
      </c>
      <c r="B261" s="23" t="s">
        <v>306</v>
      </c>
      <c r="C261" s="23" t="s">
        <v>44</v>
      </c>
      <c r="D261" s="23" t="s">
        <v>45</v>
      </c>
      <c r="E261" s="23" t="s">
        <v>34</v>
      </c>
      <c r="F261" s="23">
        <v>71</v>
      </c>
      <c r="G261" s="24">
        <v>25.38</v>
      </c>
      <c r="H261" s="24">
        <v>13.61</v>
      </c>
      <c r="I261" s="25">
        <f t="shared" si="8"/>
        <v>1801.98</v>
      </c>
      <c r="J261" s="25">
        <f t="shared" si="9"/>
        <v>835.67000000000007</v>
      </c>
    </row>
    <row r="262" spans="1:10" x14ac:dyDescent="0.35">
      <c r="A262" s="22">
        <v>46200</v>
      </c>
      <c r="B262" s="23" t="s">
        <v>307</v>
      </c>
      <c r="C262" s="23" t="s">
        <v>49</v>
      </c>
      <c r="D262" s="23" t="s">
        <v>55</v>
      </c>
      <c r="E262" s="23" t="s">
        <v>61</v>
      </c>
      <c r="F262" s="23">
        <v>6</v>
      </c>
      <c r="G262" s="24">
        <v>841.83</v>
      </c>
      <c r="H262" s="24">
        <v>590.57000000000005</v>
      </c>
      <c r="I262" s="25">
        <f t="shared" si="8"/>
        <v>5050.9800000000005</v>
      </c>
      <c r="J262" s="25">
        <f t="shared" si="9"/>
        <v>1507.5600000000004</v>
      </c>
    </row>
    <row r="263" spans="1:10" x14ac:dyDescent="0.35">
      <c r="A263" s="22">
        <v>46200</v>
      </c>
      <c r="B263" s="23" t="s">
        <v>308</v>
      </c>
      <c r="C263" s="23" t="s">
        <v>44</v>
      </c>
      <c r="D263" s="23" t="s">
        <v>57</v>
      </c>
      <c r="E263" s="23" t="s">
        <v>40</v>
      </c>
      <c r="F263" s="23">
        <v>4</v>
      </c>
      <c r="G263" s="24">
        <v>361.1</v>
      </c>
      <c r="H263" s="24">
        <v>164.37</v>
      </c>
      <c r="I263" s="25">
        <f t="shared" si="8"/>
        <v>1444.4</v>
      </c>
      <c r="J263" s="25">
        <f t="shared" si="9"/>
        <v>786.92000000000007</v>
      </c>
    </row>
    <row r="264" spans="1:10" x14ac:dyDescent="0.35">
      <c r="A264" s="22">
        <v>46201</v>
      </c>
      <c r="B264" s="23" t="s">
        <v>309</v>
      </c>
      <c r="C264" s="23" t="s">
        <v>32</v>
      </c>
      <c r="D264" s="23" t="s">
        <v>47</v>
      </c>
      <c r="E264" s="23" t="s">
        <v>40</v>
      </c>
      <c r="F264" s="23">
        <v>5</v>
      </c>
      <c r="G264" s="24">
        <v>196.17</v>
      </c>
      <c r="H264" s="24">
        <v>91.33</v>
      </c>
      <c r="I264" s="25">
        <f t="shared" si="8"/>
        <v>980.84999999999991</v>
      </c>
      <c r="J264" s="25">
        <f t="shared" si="9"/>
        <v>524.19999999999993</v>
      </c>
    </row>
    <row r="265" spans="1:10" x14ac:dyDescent="0.35">
      <c r="A265" s="22">
        <v>46204</v>
      </c>
      <c r="B265" s="23" t="s">
        <v>310</v>
      </c>
      <c r="C265" s="23" t="s">
        <v>32</v>
      </c>
      <c r="D265" s="23" t="s">
        <v>47</v>
      </c>
      <c r="E265" s="23" t="s">
        <v>40</v>
      </c>
      <c r="F265" s="23">
        <v>19</v>
      </c>
      <c r="G265" s="24">
        <v>316.01</v>
      </c>
      <c r="H265" s="24">
        <v>146.52000000000001</v>
      </c>
      <c r="I265" s="25">
        <f t="shared" si="8"/>
        <v>6004.19</v>
      </c>
      <c r="J265" s="25">
        <f t="shared" si="9"/>
        <v>3220.3099999999995</v>
      </c>
    </row>
    <row r="266" spans="1:10" x14ac:dyDescent="0.35">
      <c r="A266" s="22">
        <v>46205</v>
      </c>
      <c r="B266" s="23" t="s">
        <v>311</v>
      </c>
      <c r="C266" s="23" t="s">
        <v>44</v>
      </c>
      <c r="D266" s="23" t="s">
        <v>45</v>
      </c>
      <c r="E266" s="23" t="s">
        <v>42</v>
      </c>
      <c r="F266" s="23">
        <v>26</v>
      </c>
      <c r="G266" s="24">
        <v>269.67</v>
      </c>
      <c r="H266" s="24">
        <v>56.64</v>
      </c>
      <c r="I266" s="25">
        <f t="shared" si="8"/>
        <v>7011.42</v>
      </c>
      <c r="J266" s="25">
        <f t="shared" si="9"/>
        <v>5538.78</v>
      </c>
    </row>
    <row r="267" spans="1:10" x14ac:dyDescent="0.35">
      <c r="A267" s="22">
        <v>46206</v>
      </c>
      <c r="B267" s="23" t="s">
        <v>312</v>
      </c>
      <c r="C267" s="23" t="s">
        <v>49</v>
      </c>
      <c r="D267" s="23" t="s">
        <v>50</v>
      </c>
      <c r="E267" s="23" t="s">
        <v>61</v>
      </c>
      <c r="F267" s="23">
        <v>1</v>
      </c>
      <c r="G267" s="24">
        <v>381.03</v>
      </c>
      <c r="H267" s="24">
        <v>266.64</v>
      </c>
      <c r="I267" s="25">
        <f t="shared" si="8"/>
        <v>381.03</v>
      </c>
      <c r="J267" s="25">
        <f t="shared" si="9"/>
        <v>114.38999999999999</v>
      </c>
    </row>
    <row r="268" spans="1:10" x14ac:dyDescent="0.35">
      <c r="A268" s="22">
        <v>46206</v>
      </c>
      <c r="B268" s="23" t="s">
        <v>313</v>
      </c>
      <c r="C268" s="23" t="s">
        <v>49</v>
      </c>
      <c r="D268" s="23" t="s">
        <v>55</v>
      </c>
      <c r="E268" s="23" t="s">
        <v>42</v>
      </c>
      <c r="F268" s="23">
        <v>6</v>
      </c>
      <c r="G268" s="24">
        <v>256.24</v>
      </c>
      <c r="H268" s="24">
        <v>57.38</v>
      </c>
      <c r="I268" s="25">
        <f t="shared" si="8"/>
        <v>1537.44</v>
      </c>
      <c r="J268" s="25">
        <f t="shared" si="9"/>
        <v>1193.1600000000001</v>
      </c>
    </row>
    <row r="269" spans="1:10" x14ac:dyDescent="0.35">
      <c r="A269" s="22">
        <v>46208</v>
      </c>
      <c r="B269" s="23" t="s">
        <v>314</v>
      </c>
      <c r="C269" s="23" t="s">
        <v>49</v>
      </c>
      <c r="D269" s="23" t="s">
        <v>50</v>
      </c>
      <c r="E269" s="23" t="s">
        <v>61</v>
      </c>
      <c r="F269" s="23">
        <v>6</v>
      </c>
      <c r="G269" s="24">
        <v>293.7</v>
      </c>
      <c r="H269" s="24">
        <v>205.28</v>
      </c>
      <c r="I269" s="25">
        <f t="shared" si="8"/>
        <v>1762.1999999999998</v>
      </c>
      <c r="J269" s="25">
        <f t="shared" si="9"/>
        <v>530.51999999999975</v>
      </c>
    </row>
    <row r="270" spans="1:10" x14ac:dyDescent="0.35">
      <c r="A270" s="22">
        <v>46208</v>
      </c>
      <c r="B270" s="23" t="s">
        <v>315</v>
      </c>
      <c r="C270" s="23" t="s">
        <v>36</v>
      </c>
      <c r="D270" s="23" t="s">
        <v>39</v>
      </c>
      <c r="E270" s="23" t="s">
        <v>61</v>
      </c>
      <c r="F270" s="23">
        <v>8</v>
      </c>
      <c r="G270" s="24">
        <v>508.8</v>
      </c>
      <c r="H270" s="24">
        <v>353.49</v>
      </c>
      <c r="I270" s="25">
        <f t="shared" si="8"/>
        <v>4070.4</v>
      </c>
      <c r="J270" s="25">
        <f t="shared" si="9"/>
        <v>1242.48</v>
      </c>
    </row>
    <row r="271" spans="1:10" x14ac:dyDescent="0.35">
      <c r="A271" s="22">
        <v>46209</v>
      </c>
      <c r="B271" s="23" t="s">
        <v>316</v>
      </c>
      <c r="C271" s="23" t="s">
        <v>49</v>
      </c>
      <c r="D271" s="23" t="s">
        <v>50</v>
      </c>
      <c r="E271" s="23" t="s">
        <v>34</v>
      </c>
      <c r="F271" s="23">
        <v>27</v>
      </c>
      <c r="G271" s="24">
        <v>50.89</v>
      </c>
      <c r="H271" s="24">
        <v>27.1</v>
      </c>
      <c r="I271" s="25">
        <f t="shared" si="8"/>
        <v>1374.03</v>
      </c>
      <c r="J271" s="25">
        <f t="shared" si="9"/>
        <v>642.32999999999993</v>
      </c>
    </row>
    <row r="272" spans="1:10" x14ac:dyDescent="0.35">
      <c r="A272" s="22">
        <v>46210</v>
      </c>
      <c r="B272" s="23" t="s">
        <v>317</v>
      </c>
      <c r="C272" s="23" t="s">
        <v>32</v>
      </c>
      <c r="D272" s="23" t="s">
        <v>33</v>
      </c>
      <c r="E272" s="23" t="s">
        <v>40</v>
      </c>
      <c r="F272" s="23">
        <v>6</v>
      </c>
      <c r="G272" s="24">
        <v>599.38</v>
      </c>
      <c r="H272" s="24">
        <v>261.63</v>
      </c>
      <c r="I272" s="25">
        <f t="shared" si="8"/>
        <v>3596.2799999999997</v>
      </c>
      <c r="J272" s="25">
        <f t="shared" si="9"/>
        <v>2026.4999999999998</v>
      </c>
    </row>
    <row r="273" spans="1:10" x14ac:dyDescent="0.35">
      <c r="A273" s="22">
        <v>46211</v>
      </c>
      <c r="B273" s="23" t="s">
        <v>318</v>
      </c>
      <c r="C273" s="23" t="s">
        <v>49</v>
      </c>
      <c r="D273" s="23" t="s">
        <v>55</v>
      </c>
      <c r="E273" s="23" t="s">
        <v>40</v>
      </c>
      <c r="F273" s="23">
        <v>17</v>
      </c>
      <c r="G273" s="24">
        <v>430.26</v>
      </c>
      <c r="H273" s="24">
        <v>185.15</v>
      </c>
      <c r="I273" s="25">
        <f t="shared" si="8"/>
        <v>7314.42</v>
      </c>
      <c r="J273" s="25">
        <f t="shared" si="9"/>
        <v>4166.87</v>
      </c>
    </row>
    <row r="274" spans="1:10" x14ac:dyDescent="0.35">
      <c r="A274" s="22">
        <v>46212</v>
      </c>
      <c r="B274" s="23" t="s">
        <v>319</v>
      </c>
      <c r="C274" s="23" t="s">
        <v>36</v>
      </c>
      <c r="D274" s="23" t="s">
        <v>37</v>
      </c>
      <c r="E274" s="23" t="s">
        <v>42</v>
      </c>
      <c r="F274" s="23">
        <v>11</v>
      </c>
      <c r="G274" s="24">
        <v>94.86</v>
      </c>
      <c r="H274" s="24">
        <v>20.329999999999998</v>
      </c>
      <c r="I274" s="25">
        <f t="shared" si="8"/>
        <v>1043.46</v>
      </c>
      <c r="J274" s="25">
        <f t="shared" si="9"/>
        <v>819.83</v>
      </c>
    </row>
    <row r="275" spans="1:10" x14ac:dyDescent="0.35">
      <c r="A275" s="22">
        <v>46212</v>
      </c>
      <c r="B275" s="23" t="s">
        <v>320</v>
      </c>
      <c r="C275" s="23" t="s">
        <v>36</v>
      </c>
      <c r="D275" s="23" t="s">
        <v>39</v>
      </c>
      <c r="E275" s="23" t="s">
        <v>40</v>
      </c>
      <c r="F275" s="23">
        <v>16</v>
      </c>
      <c r="G275" s="24">
        <v>346.63</v>
      </c>
      <c r="H275" s="24">
        <v>154.41999999999999</v>
      </c>
      <c r="I275" s="25">
        <f t="shared" si="8"/>
        <v>5546.08</v>
      </c>
      <c r="J275" s="25">
        <f t="shared" si="9"/>
        <v>3075.36</v>
      </c>
    </row>
    <row r="276" spans="1:10" x14ac:dyDescent="0.35">
      <c r="A276" s="22">
        <v>46212</v>
      </c>
      <c r="B276" s="23" t="s">
        <v>321</v>
      </c>
      <c r="C276" s="23" t="s">
        <v>36</v>
      </c>
      <c r="D276" s="23" t="s">
        <v>39</v>
      </c>
      <c r="E276" s="23" t="s">
        <v>40</v>
      </c>
      <c r="F276" s="23">
        <v>7</v>
      </c>
      <c r="G276" s="24">
        <v>185.52</v>
      </c>
      <c r="H276" s="24">
        <v>84.34</v>
      </c>
      <c r="I276" s="25">
        <f t="shared" si="8"/>
        <v>1298.6400000000001</v>
      </c>
      <c r="J276" s="25">
        <f t="shared" si="9"/>
        <v>708.2600000000001</v>
      </c>
    </row>
    <row r="277" spans="1:10" x14ac:dyDescent="0.35">
      <c r="A277" s="22">
        <v>46212</v>
      </c>
      <c r="B277" s="23" t="s">
        <v>322</v>
      </c>
      <c r="C277" s="23" t="s">
        <v>44</v>
      </c>
      <c r="D277" s="23" t="s">
        <v>57</v>
      </c>
      <c r="E277" s="23" t="s">
        <v>40</v>
      </c>
      <c r="F277" s="23">
        <v>7</v>
      </c>
      <c r="G277" s="24">
        <v>426.49</v>
      </c>
      <c r="H277" s="24">
        <v>184.12</v>
      </c>
      <c r="I277" s="25">
        <f t="shared" si="8"/>
        <v>2985.4300000000003</v>
      </c>
      <c r="J277" s="25">
        <f t="shared" si="9"/>
        <v>1696.5900000000001</v>
      </c>
    </row>
    <row r="278" spans="1:10" x14ac:dyDescent="0.35">
      <c r="A278" s="22">
        <v>46213</v>
      </c>
      <c r="B278" s="23" t="s">
        <v>323</v>
      </c>
      <c r="C278" s="23" t="s">
        <v>44</v>
      </c>
      <c r="D278" s="23" t="s">
        <v>57</v>
      </c>
      <c r="E278" s="23" t="s">
        <v>40</v>
      </c>
      <c r="F278" s="23">
        <v>13</v>
      </c>
      <c r="G278" s="24">
        <v>567.29999999999995</v>
      </c>
      <c r="H278" s="24">
        <v>258.8</v>
      </c>
      <c r="I278" s="25">
        <f t="shared" si="8"/>
        <v>7374.9</v>
      </c>
      <c r="J278" s="25">
        <f t="shared" si="9"/>
        <v>4010.4999999999995</v>
      </c>
    </row>
    <row r="279" spans="1:10" x14ac:dyDescent="0.35">
      <c r="A279" s="22">
        <v>46214</v>
      </c>
      <c r="B279" s="23" t="s">
        <v>324</v>
      </c>
      <c r="C279" s="23" t="s">
        <v>32</v>
      </c>
      <c r="D279" s="23" t="s">
        <v>33</v>
      </c>
      <c r="E279" s="23" t="s">
        <v>42</v>
      </c>
      <c r="F279" s="23">
        <v>21</v>
      </c>
      <c r="G279" s="24">
        <v>297.61</v>
      </c>
      <c r="H279" s="24">
        <v>65.760000000000005</v>
      </c>
      <c r="I279" s="25">
        <f t="shared" si="8"/>
        <v>6249.81</v>
      </c>
      <c r="J279" s="25">
        <f t="shared" si="9"/>
        <v>4868.8500000000004</v>
      </c>
    </row>
    <row r="280" spans="1:10" x14ac:dyDescent="0.35">
      <c r="A280" s="22">
        <v>46215</v>
      </c>
      <c r="B280" s="23" t="s">
        <v>325</v>
      </c>
      <c r="C280" s="23" t="s">
        <v>49</v>
      </c>
      <c r="D280" s="23" t="s">
        <v>55</v>
      </c>
      <c r="E280" s="23" t="s">
        <v>34</v>
      </c>
      <c r="F280" s="23">
        <v>67</v>
      </c>
      <c r="G280" s="24">
        <v>17.43</v>
      </c>
      <c r="H280" s="24">
        <v>9.25</v>
      </c>
      <c r="I280" s="25">
        <f t="shared" si="8"/>
        <v>1167.81</v>
      </c>
      <c r="J280" s="25">
        <f t="shared" si="9"/>
        <v>548.05999999999995</v>
      </c>
    </row>
    <row r="281" spans="1:10" x14ac:dyDescent="0.35">
      <c r="A281" s="22">
        <v>46215</v>
      </c>
      <c r="B281" s="23" t="s">
        <v>326</v>
      </c>
      <c r="C281" s="23" t="s">
        <v>32</v>
      </c>
      <c r="D281" s="23" t="s">
        <v>47</v>
      </c>
      <c r="E281" s="23" t="s">
        <v>42</v>
      </c>
      <c r="F281" s="23">
        <v>28</v>
      </c>
      <c r="G281" s="24">
        <v>96.91</v>
      </c>
      <c r="H281" s="24">
        <v>20.55</v>
      </c>
      <c r="I281" s="25">
        <f t="shared" si="8"/>
        <v>2713.48</v>
      </c>
      <c r="J281" s="25">
        <f t="shared" si="9"/>
        <v>2138.08</v>
      </c>
    </row>
    <row r="282" spans="1:10" x14ac:dyDescent="0.35">
      <c r="A282" s="22">
        <v>46215</v>
      </c>
      <c r="B282" s="23" t="s">
        <v>327</v>
      </c>
      <c r="C282" s="23" t="s">
        <v>32</v>
      </c>
      <c r="D282" s="23" t="s">
        <v>33</v>
      </c>
      <c r="E282" s="23" t="s">
        <v>34</v>
      </c>
      <c r="F282" s="23">
        <v>80</v>
      </c>
      <c r="G282" s="24">
        <v>33.799999999999997</v>
      </c>
      <c r="H282" s="24">
        <v>18.84</v>
      </c>
      <c r="I282" s="25">
        <f t="shared" si="8"/>
        <v>2704</v>
      </c>
      <c r="J282" s="25">
        <f t="shared" si="9"/>
        <v>1196.8</v>
      </c>
    </row>
    <row r="283" spans="1:10" x14ac:dyDescent="0.35">
      <c r="A283" s="22">
        <v>46216</v>
      </c>
      <c r="B283" s="23" t="s">
        <v>328</v>
      </c>
      <c r="C283" s="23" t="s">
        <v>32</v>
      </c>
      <c r="D283" s="23" t="s">
        <v>47</v>
      </c>
      <c r="E283" s="23" t="s">
        <v>34</v>
      </c>
      <c r="F283" s="23">
        <v>76</v>
      </c>
      <c r="G283" s="24">
        <v>52.22</v>
      </c>
      <c r="H283" s="24">
        <v>28.71</v>
      </c>
      <c r="I283" s="25">
        <f t="shared" si="8"/>
        <v>3968.72</v>
      </c>
      <c r="J283" s="25">
        <f t="shared" si="9"/>
        <v>1786.7599999999998</v>
      </c>
    </row>
    <row r="284" spans="1:10" x14ac:dyDescent="0.35">
      <c r="A284" s="22">
        <v>46216</v>
      </c>
      <c r="B284" s="23" t="s">
        <v>329</v>
      </c>
      <c r="C284" s="23" t="s">
        <v>32</v>
      </c>
      <c r="D284" s="23" t="s">
        <v>47</v>
      </c>
      <c r="E284" s="23" t="s">
        <v>40</v>
      </c>
      <c r="F284" s="23">
        <v>7</v>
      </c>
      <c r="G284" s="24">
        <v>262.33</v>
      </c>
      <c r="H284" s="24">
        <v>113.49</v>
      </c>
      <c r="I284" s="25">
        <f t="shared" si="8"/>
        <v>1836.31</v>
      </c>
      <c r="J284" s="25">
        <f t="shared" si="9"/>
        <v>1041.8800000000001</v>
      </c>
    </row>
    <row r="285" spans="1:10" x14ac:dyDescent="0.35">
      <c r="A285" s="22">
        <v>46217</v>
      </c>
      <c r="B285" s="23" t="s">
        <v>330</v>
      </c>
      <c r="C285" s="23" t="s">
        <v>36</v>
      </c>
      <c r="D285" s="23" t="s">
        <v>37</v>
      </c>
      <c r="E285" s="23" t="s">
        <v>40</v>
      </c>
      <c r="F285" s="23">
        <v>4</v>
      </c>
      <c r="G285" s="24">
        <v>258.25</v>
      </c>
      <c r="H285" s="24">
        <v>115.24</v>
      </c>
      <c r="I285" s="25">
        <f t="shared" si="8"/>
        <v>1033</v>
      </c>
      <c r="J285" s="25">
        <f t="shared" si="9"/>
        <v>572.04</v>
      </c>
    </row>
    <row r="286" spans="1:10" x14ac:dyDescent="0.35">
      <c r="A286" s="22">
        <v>46218</v>
      </c>
      <c r="B286" s="23" t="s">
        <v>331</v>
      </c>
      <c r="C286" s="23" t="s">
        <v>49</v>
      </c>
      <c r="D286" s="23" t="s">
        <v>55</v>
      </c>
      <c r="E286" s="23" t="s">
        <v>61</v>
      </c>
      <c r="F286" s="23">
        <v>12</v>
      </c>
      <c r="G286" s="24">
        <v>538.54</v>
      </c>
      <c r="H286" s="24">
        <v>364.27</v>
      </c>
      <c r="I286" s="25">
        <f t="shared" si="8"/>
        <v>6462.48</v>
      </c>
      <c r="J286" s="25">
        <f t="shared" si="9"/>
        <v>2091.2399999999998</v>
      </c>
    </row>
    <row r="287" spans="1:10" x14ac:dyDescent="0.35">
      <c r="A287" s="22">
        <v>46219</v>
      </c>
      <c r="B287" s="23" t="s">
        <v>332</v>
      </c>
      <c r="C287" s="23" t="s">
        <v>49</v>
      </c>
      <c r="D287" s="23" t="s">
        <v>55</v>
      </c>
      <c r="E287" s="23" t="s">
        <v>34</v>
      </c>
      <c r="F287" s="23">
        <v>67</v>
      </c>
      <c r="G287" s="24">
        <v>23.83</v>
      </c>
      <c r="H287" s="24">
        <v>13.47</v>
      </c>
      <c r="I287" s="25">
        <f t="shared" si="8"/>
        <v>1596.61</v>
      </c>
      <c r="J287" s="25">
        <f t="shared" si="9"/>
        <v>694.11999999999989</v>
      </c>
    </row>
    <row r="288" spans="1:10" x14ac:dyDescent="0.35">
      <c r="A288" s="22">
        <v>46220</v>
      </c>
      <c r="B288" s="23" t="s">
        <v>333</v>
      </c>
      <c r="C288" s="23" t="s">
        <v>32</v>
      </c>
      <c r="D288" s="23" t="s">
        <v>47</v>
      </c>
      <c r="E288" s="23" t="s">
        <v>61</v>
      </c>
      <c r="F288" s="23">
        <v>9</v>
      </c>
      <c r="G288" s="24">
        <v>591.94000000000005</v>
      </c>
      <c r="H288" s="24">
        <v>402.81</v>
      </c>
      <c r="I288" s="25">
        <f t="shared" si="8"/>
        <v>5327.4600000000009</v>
      </c>
      <c r="J288" s="25">
        <f t="shared" si="9"/>
        <v>1702.170000000001</v>
      </c>
    </row>
    <row r="289" spans="1:10" x14ac:dyDescent="0.35">
      <c r="A289" s="22">
        <v>46220</v>
      </c>
      <c r="B289" s="23" t="s">
        <v>334</v>
      </c>
      <c r="C289" s="23" t="s">
        <v>44</v>
      </c>
      <c r="D289" s="23" t="s">
        <v>45</v>
      </c>
      <c r="E289" s="23" t="s">
        <v>61</v>
      </c>
      <c r="F289" s="23">
        <v>8</v>
      </c>
      <c r="G289" s="24">
        <v>380.64</v>
      </c>
      <c r="H289" s="24">
        <v>249.49</v>
      </c>
      <c r="I289" s="25">
        <f t="shared" si="8"/>
        <v>3045.12</v>
      </c>
      <c r="J289" s="25">
        <f t="shared" si="9"/>
        <v>1049.1999999999998</v>
      </c>
    </row>
    <row r="290" spans="1:10" x14ac:dyDescent="0.35">
      <c r="A290" s="22">
        <v>46220</v>
      </c>
      <c r="B290" s="23" t="s">
        <v>335</v>
      </c>
      <c r="C290" s="23" t="s">
        <v>49</v>
      </c>
      <c r="D290" s="23" t="s">
        <v>55</v>
      </c>
      <c r="E290" s="23" t="s">
        <v>40</v>
      </c>
      <c r="F290" s="23">
        <v>12</v>
      </c>
      <c r="G290" s="24">
        <v>520.5</v>
      </c>
      <c r="H290" s="24">
        <v>224.24</v>
      </c>
      <c r="I290" s="25">
        <f t="shared" si="8"/>
        <v>6246</v>
      </c>
      <c r="J290" s="25">
        <f t="shared" si="9"/>
        <v>3555.12</v>
      </c>
    </row>
    <row r="291" spans="1:10" x14ac:dyDescent="0.35">
      <c r="A291" s="22">
        <v>46221</v>
      </c>
      <c r="B291" s="23" t="s">
        <v>336</v>
      </c>
      <c r="C291" s="23" t="s">
        <v>36</v>
      </c>
      <c r="D291" s="23" t="s">
        <v>37</v>
      </c>
      <c r="E291" s="23" t="s">
        <v>42</v>
      </c>
      <c r="F291" s="23">
        <v>28</v>
      </c>
      <c r="G291" s="24">
        <v>183.43</v>
      </c>
      <c r="H291" s="24">
        <v>40.9</v>
      </c>
      <c r="I291" s="25">
        <f t="shared" si="8"/>
        <v>5136.04</v>
      </c>
      <c r="J291" s="25">
        <f t="shared" si="9"/>
        <v>3990.84</v>
      </c>
    </row>
    <row r="292" spans="1:10" x14ac:dyDescent="0.35">
      <c r="A292" s="22">
        <v>46221</v>
      </c>
      <c r="B292" s="23" t="s">
        <v>337</v>
      </c>
      <c r="C292" s="23" t="s">
        <v>32</v>
      </c>
      <c r="D292" s="23" t="s">
        <v>33</v>
      </c>
      <c r="E292" s="23" t="s">
        <v>42</v>
      </c>
      <c r="F292" s="23">
        <v>24</v>
      </c>
      <c r="G292" s="24">
        <v>97.62</v>
      </c>
      <c r="H292" s="24">
        <v>21.82</v>
      </c>
      <c r="I292" s="25">
        <f t="shared" si="8"/>
        <v>2342.88</v>
      </c>
      <c r="J292" s="25">
        <f t="shared" si="9"/>
        <v>1819.2</v>
      </c>
    </row>
    <row r="293" spans="1:10" x14ac:dyDescent="0.35">
      <c r="A293" s="22">
        <v>46223</v>
      </c>
      <c r="B293" s="23" t="s">
        <v>338</v>
      </c>
      <c r="C293" s="23" t="s">
        <v>36</v>
      </c>
      <c r="D293" s="23" t="s">
        <v>37</v>
      </c>
      <c r="E293" s="23" t="s">
        <v>40</v>
      </c>
      <c r="F293" s="23">
        <v>11</v>
      </c>
      <c r="G293" s="24">
        <v>408.77</v>
      </c>
      <c r="H293" s="24">
        <v>187.97</v>
      </c>
      <c r="I293" s="25">
        <f t="shared" si="8"/>
        <v>4496.4699999999993</v>
      </c>
      <c r="J293" s="25">
        <f t="shared" si="9"/>
        <v>2428.7999999999993</v>
      </c>
    </row>
    <row r="294" spans="1:10" x14ac:dyDescent="0.35">
      <c r="A294" s="22">
        <v>46224</v>
      </c>
      <c r="B294" s="23" t="s">
        <v>339</v>
      </c>
      <c r="C294" s="23" t="s">
        <v>36</v>
      </c>
      <c r="D294" s="23" t="s">
        <v>39</v>
      </c>
      <c r="E294" s="23" t="s">
        <v>42</v>
      </c>
      <c r="F294" s="23">
        <v>40</v>
      </c>
      <c r="G294" s="24">
        <v>229.62</v>
      </c>
      <c r="H294" s="24">
        <v>49.73</v>
      </c>
      <c r="I294" s="25">
        <f t="shared" si="8"/>
        <v>9184.7999999999993</v>
      </c>
      <c r="J294" s="25">
        <f t="shared" si="9"/>
        <v>7195.5999999999995</v>
      </c>
    </row>
    <row r="295" spans="1:10" x14ac:dyDescent="0.35">
      <c r="A295" s="22">
        <v>46224</v>
      </c>
      <c r="B295" s="23" t="s">
        <v>340</v>
      </c>
      <c r="C295" s="23" t="s">
        <v>44</v>
      </c>
      <c r="D295" s="23" t="s">
        <v>57</v>
      </c>
      <c r="E295" s="23" t="s">
        <v>40</v>
      </c>
      <c r="F295" s="23">
        <v>3</v>
      </c>
      <c r="G295" s="24">
        <v>208.06</v>
      </c>
      <c r="H295" s="24">
        <v>93.65</v>
      </c>
      <c r="I295" s="25">
        <f t="shared" si="8"/>
        <v>624.18000000000006</v>
      </c>
      <c r="J295" s="25">
        <f t="shared" si="9"/>
        <v>343.23</v>
      </c>
    </row>
    <row r="296" spans="1:10" x14ac:dyDescent="0.35">
      <c r="A296" s="22">
        <v>46228</v>
      </c>
      <c r="B296" s="23" t="s">
        <v>341</v>
      </c>
      <c r="C296" s="23" t="s">
        <v>32</v>
      </c>
      <c r="D296" s="23" t="s">
        <v>47</v>
      </c>
      <c r="E296" s="23" t="s">
        <v>61</v>
      </c>
      <c r="F296" s="23">
        <v>11</v>
      </c>
      <c r="G296" s="24">
        <v>478.99</v>
      </c>
      <c r="H296" s="24">
        <v>320.45</v>
      </c>
      <c r="I296" s="25">
        <f t="shared" si="8"/>
        <v>5268.89</v>
      </c>
      <c r="J296" s="25">
        <f t="shared" si="9"/>
        <v>1743.9400000000005</v>
      </c>
    </row>
    <row r="297" spans="1:10" x14ac:dyDescent="0.35">
      <c r="A297" s="22">
        <v>46229</v>
      </c>
      <c r="B297" s="23" t="s">
        <v>342</v>
      </c>
      <c r="C297" s="23" t="s">
        <v>32</v>
      </c>
      <c r="D297" s="23" t="s">
        <v>47</v>
      </c>
      <c r="E297" s="23" t="s">
        <v>40</v>
      </c>
      <c r="F297" s="23">
        <v>11</v>
      </c>
      <c r="G297" s="24">
        <v>469.29</v>
      </c>
      <c r="H297" s="24">
        <v>212.24</v>
      </c>
      <c r="I297" s="25">
        <f t="shared" si="8"/>
        <v>5162.1900000000005</v>
      </c>
      <c r="J297" s="25">
        <f t="shared" si="9"/>
        <v>2827.55</v>
      </c>
    </row>
    <row r="298" spans="1:10" x14ac:dyDescent="0.35">
      <c r="A298" s="22">
        <v>46230</v>
      </c>
      <c r="B298" s="23" t="s">
        <v>343</v>
      </c>
      <c r="C298" s="23" t="s">
        <v>36</v>
      </c>
      <c r="D298" s="23" t="s">
        <v>39</v>
      </c>
      <c r="E298" s="23" t="s">
        <v>42</v>
      </c>
      <c r="F298" s="23">
        <v>19</v>
      </c>
      <c r="G298" s="24">
        <v>146.91</v>
      </c>
      <c r="H298" s="24">
        <v>31.23</v>
      </c>
      <c r="I298" s="25">
        <f t="shared" si="8"/>
        <v>2791.29</v>
      </c>
      <c r="J298" s="25">
        <f t="shared" si="9"/>
        <v>2197.92</v>
      </c>
    </row>
    <row r="299" spans="1:10" x14ac:dyDescent="0.35">
      <c r="A299" s="22">
        <v>46231</v>
      </c>
      <c r="B299" s="23" t="s">
        <v>344</v>
      </c>
      <c r="C299" s="23" t="s">
        <v>32</v>
      </c>
      <c r="D299" s="23" t="s">
        <v>47</v>
      </c>
      <c r="E299" s="23" t="s">
        <v>40</v>
      </c>
      <c r="F299" s="23">
        <v>3</v>
      </c>
      <c r="G299" s="24">
        <v>345.72</v>
      </c>
      <c r="H299" s="24">
        <v>157.74</v>
      </c>
      <c r="I299" s="25">
        <f t="shared" si="8"/>
        <v>1037.1600000000001</v>
      </c>
      <c r="J299" s="25">
        <f t="shared" si="9"/>
        <v>563.94000000000005</v>
      </c>
    </row>
    <row r="300" spans="1:10" x14ac:dyDescent="0.35">
      <c r="A300" s="22">
        <v>46231</v>
      </c>
      <c r="B300" s="23" t="s">
        <v>345</v>
      </c>
      <c r="C300" s="23" t="s">
        <v>36</v>
      </c>
      <c r="D300" s="23" t="s">
        <v>39</v>
      </c>
      <c r="E300" s="23" t="s">
        <v>42</v>
      </c>
      <c r="F300" s="23">
        <v>10</v>
      </c>
      <c r="G300" s="24">
        <v>277.70999999999998</v>
      </c>
      <c r="H300" s="24">
        <v>60.76</v>
      </c>
      <c r="I300" s="25">
        <f t="shared" si="8"/>
        <v>2777.1</v>
      </c>
      <c r="J300" s="25">
        <f t="shared" si="9"/>
        <v>2169.5</v>
      </c>
    </row>
    <row r="301" spans="1:10" x14ac:dyDescent="0.35">
      <c r="A301" s="22">
        <v>46236</v>
      </c>
      <c r="B301" s="23" t="s">
        <v>346</v>
      </c>
      <c r="C301" s="23" t="s">
        <v>32</v>
      </c>
      <c r="D301" s="23" t="s">
        <v>33</v>
      </c>
      <c r="E301" s="23" t="s">
        <v>34</v>
      </c>
      <c r="F301" s="23">
        <v>30</v>
      </c>
      <c r="G301" s="24">
        <v>79.81</v>
      </c>
      <c r="H301" s="24">
        <v>43.54</v>
      </c>
      <c r="I301" s="25">
        <f t="shared" si="8"/>
        <v>2394.3000000000002</v>
      </c>
      <c r="J301" s="25">
        <f t="shared" si="9"/>
        <v>1088.1000000000001</v>
      </c>
    </row>
    <row r="302" spans="1:10" x14ac:dyDescent="0.35">
      <c r="A302" s="22">
        <v>46236</v>
      </c>
      <c r="B302" s="23" t="s">
        <v>347</v>
      </c>
      <c r="C302" s="23" t="s">
        <v>36</v>
      </c>
      <c r="D302" s="23" t="s">
        <v>37</v>
      </c>
      <c r="E302" s="23" t="s">
        <v>61</v>
      </c>
      <c r="F302" s="23">
        <v>9</v>
      </c>
      <c r="G302" s="24">
        <v>713.83</v>
      </c>
      <c r="H302" s="24">
        <v>500.16</v>
      </c>
      <c r="I302" s="25">
        <f t="shared" si="8"/>
        <v>6424.47</v>
      </c>
      <c r="J302" s="25">
        <f t="shared" si="9"/>
        <v>1923.0299999999997</v>
      </c>
    </row>
    <row r="303" spans="1:10" x14ac:dyDescent="0.35">
      <c r="A303" s="22">
        <v>46239</v>
      </c>
      <c r="B303" s="23" t="s">
        <v>348</v>
      </c>
      <c r="C303" s="23" t="s">
        <v>44</v>
      </c>
      <c r="D303" s="23" t="s">
        <v>45</v>
      </c>
      <c r="E303" s="23" t="s">
        <v>61</v>
      </c>
      <c r="F303" s="23">
        <v>1</v>
      </c>
      <c r="G303" s="24">
        <v>866.33</v>
      </c>
      <c r="H303" s="24">
        <v>566.12</v>
      </c>
      <c r="I303" s="25">
        <f t="shared" si="8"/>
        <v>866.33</v>
      </c>
      <c r="J303" s="25">
        <f t="shared" si="9"/>
        <v>300.21000000000004</v>
      </c>
    </row>
    <row r="304" spans="1:10" x14ac:dyDescent="0.35">
      <c r="A304" s="22">
        <v>46240</v>
      </c>
      <c r="B304" s="23" t="s">
        <v>349</v>
      </c>
      <c r="C304" s="23" t="s">
        <v>49</v>
      </c>
      <c r="D304" s="23" t="s">
        <v>55</v>
      </c>
      <c r="E304" s="23" t="s">
        <v>34</v>
      </c>
      <c r="F304" s="23">
        <v>53</v>
      </c>
      <c r="G304" s="24">
        <v>70.45</v>
      </c>
      <c r="H304" s="24">
        <v>37.97</v>
      </c>
      <c r="I304" s="25">
        <f t="shared" si="8"/>
        <v>3733.8500000000004</v>
      </c>
      <c r="J304" s="25">
        <f t="shared" si="9"/>
        <v>1721.4400000000005</v>
      </c>
    </row>
    <row r="305" spans="1:10" x14ac:dyDescent="0.35">
      <c r="A305" s="22">
        <v>46244</v>
      </c>
      <c r="B305" s="23" t="s">
        <v>350</v>
      </c>
      <c r="C305" s="23" t="s">
        <v>49</v>
      </c>
      <c r="D305" s="23" t="s">
        <v>50</v>
      </c>
      <c r="E305" s="23" t="s">
        <v>61</v>
      </c>
      <c r="F305" s="23">
        <v>8</v>
      </c>
      <c r="G305" s="24">
        <v>288.94</v>
      </c>
      <c r="H305" s="24">
        <v>195.29</v>
      </c>
      <c r="I305" s="25">
        <f t="shared" si="8"/>
        <v>2311.52</v>
      </c>
      <c r="J305" s="25">
        <f t="shared" si="9"/>
        <v>749.2</v>
      </c>
    </row>
    <row r="306" spans="1:10" x14ac:dyDescent="0.35">
      <c r="A306" s="22">
        <v>46244</v>
      </c>
      <c r="B306" s="23" t="s">
        <v>351</v>
      </c>
      <c r="C306" s="23" t="s">
        <v>49</v>
      </c>
      <c r="D306" s="23" t="s">
        <v>50</v>
      </c>
      <c r="E306" s="23" t="s">
        <v>40</v>
      </c>
      <c r="F306" s="23">
        <v>11</v>
      </c>
      <c r="G306" s="24">
        <v>529.28</v>
      </c>
      <c r="H306" s="24">
        <v>242.29</v>
      </c>
      <c r="I306" s="25">
        <f t="shared" si="8"/>
        <v>5822.08</v>
      </c>
      <c r="J306" s="25">
        <f t="shared" si="9"/>
        <v>3156.89</v>
      </c>
    </row>
    <row r="307" spans="1:10" x14ac:dyDescent="0.35">
      <c r="A307" s="22">
        <v>46244</v>
      </c>
      <c r="B307" s="23" t="s">
        <v>352</v>
      </c>
      <c r="C307" s="23" t="s">
        <v>32</v>
      </c>
      <c r="D307" s="23" t="s">
        <v>33</v>
      </c>
      <c r="E307" s="23" t="s">
        <v>40</v>
      </c>
      <c r="F307" s="23">
        <v>17</v>
      </c>
      <c r="G307" s="24">
        <v>460.61</v>
      </c>
      <c r="H307" s="24">
        <v>207.05</v>
      </c>
      <c r="I307" s="25">
        <f t="shared" si="8"/>
        <v>7830.37</v>
      </c>
      <c r="J307" s="25">
        <f t="shared" si="9"/>
        <v>4310.5199999999995</v>
      </c>
    </row>
    <row r="308" spans="1:10" x14ac:dyDescent="0.35">
      <c r="A308" s="22">
        <v>46245</v>
      </c>
      <c r="B308" s="23" t="s">
        <v>353</v>
      </c>
      <c r="C308" s="23" t="s">
        <v>44</v>
      </c>
      <c r="D308" s="23" t="s">
        <v>45</v>
      </c>
      <c r="E308" s="23" t="s">
        <v>42</v>
      </c>
      <c r="F308" s="23">
        <v>11</v>
      </c>
      <c r="G308" s="24">
        <v>138.84</v>
      </c>
      <c r="H308" s="24">
        <v>29.77</v>
      </c>
      <c r="I308" s="25">
        <f t="shared" si="8"/>
        <v>1527.24</v>
      </c>
      <c r="J308" s="25">
        <f t="shared" si="9"/>
        <v>1199.77</v>
      </c>
    </row>
    <row r="309" spans="1:10" x14ac:dyDescent="0.35">
      <c r="A309" s="22">
        <v>46245</v>
      </c>
      <c r="B309" s="23" t="s">
        <v>354</v>
      </c>
      <c r="C309" s="23" t="s">
        <v>36</v>
      </c>
      <c r="D309" s="23" t="s">
        <v>39</v>
      </c>
      <c r="E309" s="23" t="s">
        <v>34</v>
      </c>
      <c r="F309" s="23">
        <v>13</v>
      </c>
      <c r="G309" s="24">
        <v>58.78</v>
      </c>
      <c r="H309" s="24">
        <v>33.29</v>
      </c>
      <c r="I309" s="25">
        <f t="shared" si="8"/>
        <v>764.14</v>
      </c>
      <c r="J309" s="25">
        <f t="shared" si="9"/>
        <v>331.37</v>
      </c>
    </row>
    <row r="310" spans="1:10" x14ac:dyDescent="0.35">
      <c r="A310" s="22">
        <v>46245</v>
      </c>
      <c r="B310" s="23" t="s">
        <v>355</v>
      </c>
      <c r="C310" s="23" t="s">
        <v>44</v>
      </c>
      <c r="D310" s="23" t="s">
        <v>57</v>
      </c>
      <c r="E310" s="23" t="s">
        <v>42</v>
      </c>
      <c r="F310" s="23">
        <v>21</v>
      </c>
      <c r="G310" s="24">
        <v>197.29</v>
      </c>
      <c r="H310" s="24">
        <v>43.6</v>
      </c>
      <c r="I310" s="25">
        <f t="shared" si="8"/>
        <v>4143.09</v>
      </c>
      <c r="J310" s="25">
        <f t="shared" si="9"/>
        <v>3227.4900000000002</v>
      </c>
    </row>
    <row r="311" spans="1:10" x14ac:dyDescent="0.35">
      <c r="A311" s="22">
        <v>46246</v>
      </c>
      <c r="B311" s="23" t="s">
        <v>356</v>
      </c>
      <c r="C311" s="23" t="s">
        <v>32</v>
      </c>
      <c r="D311" s="23" t="s">
        <v>33</v>
      </c>
      <c r="E311" s="23" t="s">
        <v>61</v>
      </c>
      <c r="F311" s="23">
        <v>5</v>
      </c>
      <c r="G311" s="24">
        <v>577.77</v>
      </c>
      <c r="H311" s="24">
        <v>403.27</v>
      </c>
      <c r="I311" s="25">
        <f t="shared" si="8"/>
        <v>2888.85</v>
      </c>
      <c r="J311" s="25">
        <f t="shared" si="9"/>
        <v>872.5</v>
      </c>
    </row>
    <row r="312" spans="1:10" x14ac:dyDescent="0.35">
      <c r="A312" s="22">
        <v>46246</v>
      </c>
      <c r="B312" s="23" t="s">
        <v>357</v>
      </c>
      <c r="C312" s="23" t="s">
        <v>32</v>
      </c>
      <c r="D312" s="23" t="s">
        <v>33</v>
      </c>
      <c r="E312" s="23" t="s">
        <v>42</v>
      </c>
      <c r="F312" s="23">
        <v>30</v>
      </c>
      <c r="G312" s="24">
        <v>206.16</v>
      </c>
      <c r="H312" s="24">
        <v>45.55</v>
      </c>
      <c r="I312" s="25">
        <f t="shared" si="8"/>
        <v>6184.8</v>
      </c>
      <c r="J312" s="25">
        <f t="shared" si="9"/>
        <v>4818.3</v>
      </c>
    </row>
    <row r="313" spans="1:10" x14ac:dyDescent="0.35">
      <c r="A313" s="22">
        <v>46249</v>
      </c>
      <c r="B313" s="23" t="s">
        <v>358</v>
      </c>
      <c r="C313" s="23" t="s">
        <v>44</v>
      </c>
      <c r="D313" s="23" t="s">
        <v>45</v>
      </c>
      <c r="E313" s="23" t="s">
        <v>42</v>
      </c>
      <c r="F313" s="23">
        <v>25</v>
      </c>
      <c r="G313" s="24">
        <v>111.61</v>
      </c>
      <c r="H313" s="24">
        <v>25.44</v>
      </c>
      <c r="I313" s="25">
        <f t="shared" si="8"/>
        <v>2790.25</v>
      </c>
      <c r="J313" s="25">
        <f t="shared" si="9"/>
        <v>2154.25</v>
      </c>
    </row>
    <row r="314" spans="1:10" x14ac:dyDescent="0.35">
      <c r="A314" s="22">
        <v>46249</v>
      </c>
      <c r="B314" s="23" t="s">
        <v>359</v>
      </c>
      <c r="C314" s="23" t="s">
        <v>44</v>
      </c>
      <c r="D314" s="23" t="s">
        <v>57</v>
      </c>
      <c r="E314" s="23" t="s">
        <v>40</v>
      </c>
      <c r="F314" s="23">
        <v>12</v>
      </c>
      <c r="G314" s="24">
        <v>381.98</v>
      </c>
      <c r="H314" s="24">
        <v>168.93</v>
      </c>
      <c r="I314" s="25">
        <f t="shared" si="8"/>
        <v>4583.76</v>
      </c>
      <c r="J314" s="25">
        <f t="shared" si="9"/>
        <v>2556.6000000000004</v>
      </c>
    </row>
    <row r="315" spans="1:10" x14ac:dyDescent="0.35">
      <c r="A315" s="22">
        <v>46249</v>
      </c>
      <c r="B315" s="23" t="s">
        <v>360</v>
      </c>
      <c r="C315" s="23" t="s">
        <v>32</v>
      </c>
      <c r="D315" s="23" t="s">
        <v>47</v>
      </c>
      <c r="E315" s="23" t="s">
        <v>42</v>
      </c>
      <c r="F315" s="23">
        <v>37</v>
      </c>
      <c r="G315" s="24">
        <v>170.85</v>
      </c>
      <c r="H315" s="24">
        <v>36.47</v>
      </c>
      <c r="I315" s="25">
        <f t="shared" si="8"/>
        <v>6321.45</v>
      </c>
      <c r="J315" s="25">
        <f t="shared" si="9"/>
        <v>4972.0599999999995</v>
      </c>
    </row>
    <row r="316" spans="1:10" x14ac:dyDescent="0.35">
      <c r="A316" s="22">
        <v>46250</v>
      </c>
      <c r="B316" s="23" t="s">
        <v>361</v>
      </c>
      <c r="C316" s="23" t="s">
        <v>49</v>
      </c>
      <c r="D316" s="23" t="s">
        <v>50</v>
      </c>
      <c r="E316" s="23" t="s">
        <v>42</v>
      </c>
      <c r="F316" s="23">
        <v>30</v>
      </c>
      <c r="G316" s="24">
        <v>147.88</v>
      </c>
      <c r="H316" s="24">
        <v>30.98</v>
      </c>
      <c r="I316" s="25">
        <f t="shared" si="8"/>
        <v>4436.3999999999996</v>
      </c>
      <c r="J316" s="25">
        <f t="shared" si="9"/>
        <v>3506.9999999999995</v>
      </c>
    </row>
    <row r="317" spans="1:10" x14ac:dyDescent="0.35">
      <c r="A317" s="22">
        <v>46251</v>
      </c>
      <c r="B317" s="23" t="s">
        <v>362</v>
      </c>
      <c r="C317" s="23" t="s">
        <v>49</v>
      </c>
      <c r="D317" s="23" t="s">
        <v>50</v>
      </c>
      <c r="E317" s="23" t="s">
        <v>34</v>
      </c>
      <c r="F317" s="23">
        <v>16</v>
      </c>
      <c r="G317" s="24">
        <v>31.14</v>
      </c>
      <c r="H317" s="24">
        <v>16.88</v>
      </c>
      <c r="I317" s="25">
        <f t="shared" si="8"/>
        <v>498.24</v>
      </c>
      <c r="J317" s="25">
        <f t="shared" si="9"/>
        <v>228.16000000000003</v>
      </c>
    </row>
    <row r="318" spans="1:10" x14ac:dyDescent="0.35">
      <c r="A318" s="22">
        <v>46251</v>
      </c>
      <c r="B318" s="23" t="s">
        <v>363</v>
      </c>
      <c r="C318" s="23" t="s">
        <v>49</v>
      </c>
      <c r="D318" s="23" t="s">
        <v>50</v>
      </c>
      <c r="E318" s="23" t="s">
        <v>40</v>
      </c>
      <c r="F318" s="23">
        <v>13</v>
      </c>
      <c r="G318" s="24">
        <v>284.91000000000003</v>
      </c>
      <c r="H318" s="24">
        <v>132.26</v>
      </c>
      <c r="I318" s="25">
        <f t="shared" si="8"/>
        <v>3703.8300000000004</v>
      </c>
      <c r="J318" s="25">
        <f t="shared" si="9"/>
        <v>1984.4500000000005</v>
      </c>
    </row>
    <row r="319" spans="1:10" x14ac:dyDescent="0.35">
      <c r="A319" s="22">
        <v>46251</v>
      </c>
      <c r="B319" s="23" t="s">
        <v>364</v>
      </c>
      <c r="C319" s="23" t="s">
        <v>44</v>
      </c>
      <c r="D319" s="23" t="s">
        <v>45</v>
      </c>
      <c r="E319" s="23" t="s">
        <v>40</v>
      </c>
      <c r="F319" s="23">
        <v>14</v>
      </c>
      <c r="G319" s="24">
        <v>599.16</v>
      </c>
      <c r="H319" s="24">
        <v>269.04000000000002</v>
      </c>
      <c r="I319" s="25">
        <f t="shared" si="8"/>
        <v>8388.24</v>
      </c>
      <c r="J319" s="25">
        <f t="shared" si="9"/>
        <v>4621.6799999999994</v>
      </c>
    </row>
    <row r="320" spans="1:10" x14ac:dyDescent="0.35">
      <c r="A320" s="22">
        <v>46252</v>
      </c>
      <c r="B320" s="23" t="s">
        <v>365</v>
      </c>
      <c r="C320" s="23" t="s">
        <v>36</v>
      </c>
      <c r="D320" s="23" t="s">
        <v>37</v>
      </c>
      <c r="E320" s="23" t="s">
        <v>34</v>
      </c>
      <c r="F320" s="23">
        <v>56</v>
      </c>
      <c r="G320" s="24">
        <v>47.32</v>
      </c>
      <c r="H320" s="24">
        <v>27.02</v>
      </c>
      <c r="I320" s="25">
        <f t="shared" si="8"/>
        <v>2649.92</v>
      </c>
      <c r="J320" s="25">
        <f t="shared" si="9"/>
        <v>1136.8000000000002</v>
      </c>
    </row>
    <row r="321" spans="1:10" x14ac:dyDescent="0.35">
      <c r="A321" s="22">
        <v>46252</v>
      </c>
      <c r="B321" s="23" t="s">
        <v>366</v>
      </c>
      <c r="C321" s="23" t="s">
        <v>32</v>
      </c>
      <c r="D321" s="23" t="s">
        <v>47</v>
      </c>
      <c r="E321" s="23" t="s">
        <v>40</v>
      </c>
      <c r="F321" s="23">
        <v>18</v>
      </c>
      <c r="G321" s="24">
        <v>239.58</v>
      </c>
      <c r="H321" s="24">
        <v>107.91</v>
      </c>
      <c r="I321" s="25">
        <f t="shared" si="8"/>
        <v>4312.4400000000005</v>
      </c>
      <c r="J321" s="25">
        <f t="shared" si="9"/>
        <v>2370.0600000000004</v>
      </c>
    </row>
    <row r="322" spans="1:10" x14ac:dyDescent="0.35">
      <c r="A322" s="22">
        <v>46253</v>
      </c>
      <c r="B322" s="23" t="s">
        <v>367</v>
      </c>
      <c r="C322" s="23" t="s">
        <v>44</v>
      </c>
      <c r="D322" s="23" t="s">
        <v>57</v>
      </c>
      <c r="E322" s="23" t="s">
        <v>61</v>
      </c>
      <c r="F322" s="23">
        <v>6</v>
      </c>
      <c r="G322" s="24">
        <v>655.91</v>
      </c>
      <c r="H322" s="24">
        <v>463.95</v>
      </c>
      <c r="I322" s="25">
        <f t="shared" ref="I322:I375" si="10">F322*G322</f>
        <v>3935.46</v>
      </c>
      <c r="J322" s="25">
        <f t="shared" ref="J322:J385" si="11">I322-F322*H322</f>
        <v>1151.7600000000002</v>
      </c>
    </row>
    <row r="323" spans="1:10" x14ac:dyDescent="0.35">
      <c r="A323" s="22">
        <v>46254</v>
      </c>
      <c r="B323" s="23" t="s">
        <v>368</v>
      </c>
      <c r="C323" s="23" t="s">
        <v>49</v>
      </c>
      <c r="D323" s="23" t="s">
        <v>50</v>
      </c>
      <c r="E323" s="23" t="s">
        <v>42</v>
      </c>
      <c r="F323" s="23">
        <v>19</v>
      </c>
      <c r="G323" s="24">
        <v>224.23</v>
      </c>
      <c r="H323" s="24">
        <v>51.66</v>
      </c>
      <c r="I323" s="25">
        <f t="shared" si="10"/>
        <v>4260.37</v>
      </c>
      <c r="J323" s="25">
        <f t="shared" si="11"/>
        <v>3278.83</v>
      </c>
    </row>
    <row r="324" spans="1:10" x14ac:dyDescent="0.35">
      <c r="A324" s="22">
        <v>46254</v>
      </c>
      <c r="B324" s="23" t="s">
        <v>369</v>
      </c>
      <c r="C324" s="23" t="s">
        <v>49</v>
      </c>
      <c r="D324" s="23" t="s">
        <v>50</v>
      </c>
      <c r="E324" s="23" t="s">
        <v>61</v>
      </c>
      <c r="F324" s="23">
        <v>4</v>
      </c>
      <c r="G324" s="24">
        <v>410.24</v>
      </c>
      <c r="H324" s="24">
        <v>280.58</v>
      </c>
      <c r="I324" s="25">
        <f t="shared" si="10"/>
        <v>1640.96</v>
      </c>
      <c r="J324" s="25">
        <f t="shared" si="11"/>
        <v>518.6400000000001</v>
      </c>
    </row>
    <row r="325" spans="1:10" x14ac:dyDescent="0.35">
      <c r="A325" s="22">
        <v>46255</v>
      </c>
      <c r="B325" s="23" t="s">
        <v>370</v>
      </c>
      <c r="C325" s="23" t="s">
        <v>44</v>
      </c>
      <c r="D325" s="23" t="s">
        <v>45</v>
      </c>
      <c r="E325" s="23" t="s">
        <v>40</v>
      </c>
      <c r="F325" s="23">
        <v>17</v>
      </c>
      <c r="G325" s="24">
        <v>337.46</v>
      </c>
      <c r="H325" s="24">
        <v>153.97</v>
      </c>
      <c r="I325" s="25">
        <f t="shared" si="10"/>
        <v>5736.82</v>
      </c>
      <c r="J325" s="25">
        <f t="shared" si="11"/>
        <v>3119.33</v>
      </c>
    </row>
    <row r="326" spans="1:10" x14ac:dyDescent="0.35">
      <c r="A326" s="22">
        <v>46255</v>
      </c>
      <c r="B326" s="23" t="s">
        <v>371</v>
      </c>
      <c r="C326" s="23" t="s">
        <v>32</v>
      </c>
      <c r="D326" s="23" t="s">
        <v>33</v>
      </c>
      <c r="E326" s="23" t="s">
        <v>40</v>
      </c>
      <c r="F326" s="23">
        <v>14</v>
      </c>
      <c r="G326" s="24">
        <v>285.94</v>
      </c>
      <c r="H326" s="24">
        <v>125.39</v>
      </c>
      <c r="I326" s="25">
        <f t="shared" si="10"/>
        <v>4003.16</v>
      </c>
      <c r="J326" s="25">
        <f t="shared" si="11"/>
        <v>2247.6999999999998</v>
      </c>
    </row>
    <row r="327" spans="1:10" x14ac:dyDescent="0.35">
      <c r="A327" s="22">
        <v>46257</v>
      </c>
      <c r="B327" s="23" t="s">
        <v>372</v>
      </c>
      <c r="C327" s="23" t="s">
        <v>36</v>
      </c>
      <c r="D327" s="23" t="s">
        <v>39</v>
      </c>
      <c r="E327" s="23" t="s">
        <v>42</v>
      </c>
      <c r="F327" s="23">
        <v>35</v>
      </c>
      <c r="G327" s="24">
        <v>177.32</v>
      </c>
      <c r="H327" s="24">
        <v>38.06</v>
      </c>
      <c r="I327" s="25">
        <f t="shared" si="10"/>
        <v>6206.2</v>
      </c>
      <c r="J327" s="25">
        <f t="shared" si="11"/>
        <v>4874.0999999999995</v>
      </c>
    </row>
    <row r="328" spans="1:10" x14ac:dyDescent="0.35">
      <c r="A328" s="22">
        <v>46258</v>
      </c>
      <c r="B328" s="23" t="s">
        <v>373</v>
      </c>
      <c r="C328" s="23" t="s">
        <v>32</v>
      </c>
      <c r="D328" s="23" t="s">
        <v>47</v>
      </c>
      <c r="E328" s="23" t="s">
        <v>34</v>
      </c>
      <c r="F328" s="23">
        <v>23</v>
      </c>
      <c r="G328" s="24">
        <v>24.81</v>
      </c>
      <c r="H328" s="24">
        <v>13.47</v>
      </c>
      <c r="I328" s="25">
        <f t="shared" si="10"/>
        <v>570.63</v>
      </c>
      <c r="J328" s="25">
        <f t="shared" si="11"/>
        <v>260.82</v>
      </c>
    </row>
    <row r="329" spans="1:10" x14ac:dyDescent="0.35">
      <c r="A329" s="22">
        <v>46258</v>
      </c>
      <c r="B329" s="23" t="s">
        <v>374</v>
      </c>
      <c r="C329" s="23" t="s">
        <v>36</v>
      </c>
      <c r="D329" s="23" t="s">
        <v>37</v>
      </c>
      <c r="E329" s="23" t="s">
        <v>40</v>
      </c>
      <c r="F329" s="23">
        <v>14</v>
      </c>
      <c r="G329" s="24">
        <v>226.73</v>
      </c>
      <c r="H329" s="24">
        <v>103.34</v>
      </c>
      <c r="I329" s="25">
        <f t="shared" si="10"/>
        <v>3174.22</v>
      </c>
      <c r="J329" s="25">
        <f t="shared" si="11"/>
        <v>1727.4599999999998</v>
      </c>
    </row>
    <row r="330" spans="1:10" x14ac:dyDescent="0.35">
      <c r="A330" s="22">
        <v>46259</v>
      </c>
      <c r="B330" s="23" t="s">
        <v>375</v>
      </c>
      <c r="C330" s="23" t="s">
        <v>49</v>
      </c>
      <c r="D330" s="23" t="s">
        <v>55</v>
      </c>
      <c r="E330" s="23" t="s">
        <v>42</v>
      </c>
      <c r="F330" s="23">
        <v>17</v>
      </c>
      <c r="G330" s="24">
        <v>168.13</v>
      </c>
      <c r="H330" s="24">
        <v>37.25</v>
      </c>
      <c r="I330" s="25">
        <f t="shared" si="10"/>
        <v>2858.21</v>
      </c>
      <c r="J330" s="25">
        <f t="shared" si="11"/>
        <v>2224.96</v>
      </c>
    </row>
    <row r="331" spans="1:10" x14ac:dyDescent="0.35">
      <c r="A331" s="22">
        <v>46259</v>
      </c>
      <c r="B331" s="23" t="s">
        <v>376</v>
      </c>
      <c r="C331" s="23" t="s">
        <v>49</v>
      </c>
      <c r="D331" s="23" t="s">
        <v>50</v>
      </c>
      <c r="E331" s="23" t="s">
        <v>34</v>
      </c>
      <c r="F331" s="23">
        <v>27</v>
      </c>
      <c r="G331" s="24">
        <v>70.19</v>
      </c>
      <c r="H331" s="24">
        <v>36.909999999999997</v>
      </c>
      <c r="I331" s="25">
        <f t="shared" si="10"/>
        <v>1895.1299999999999</v>
      </c>
      <c r="J331" s="25">
        <f t="shared" si="11"/>
        <v>898.56</v>
      </c>
    </row>
    <row r="332" spans="1:10" x14ac:dyDescent="0.35">
      <c r="A332" s="22">
        <v>46261</v>
      </c>
      <c r="B332" s="23" t="s">
        <v>377</v>
      </c>
      <c r="C332" s="23" t="s">
        <v>36</v>
      </c>
      <c r="D332" s="23" t="s">
        <v>37</v>
      </c>
      <c r="E332" s="23" t="s">
        <v>34</v>
      </c>
      <c r="F332" s="23">
        <v>43</v>
      </c>
      <c r="G332" s="24">
        <v>17.13</v>
      </c>
      <c r="H332" s="24">
        <v>8.99</v>
      </c>
      <c r="I332" s="25">
        <f t="shared" si="10"/>
        <v>736.58999999999992</v>
      </c>
      <c r="J332" s="25">
        <f t="shared" si="11"/>
        <v>350.01999999999992</v>
      </c>
    </row>
    <row r="333" spans="1:10" x14ac:dyDescent="0.35">
      <c r="A333" s="22">
        <v>46261</v>
      </c>
      <c r="B333" s="23" t="s">
        <v>378</v>
      </c>
      <c r="C333" s="23" t="s">
        <v>32</v>
      </c>
      <c r="D333" s="23" t="s">
        <v>47</v>
      </c>
      <c r="E333" s="23" t="s">
        <v>34</v>
      </c>
      <c r="F333" s="23">
        <v>30</v>
      </c>
      <c r="G333" s="24">
        <v>69.08</v>
      </c>
      <c r="H333" s="24">
        <v>36.82</v>
      </c>
      <c r="I333" s="25">
        <f t="shared" si="10"/>
        <v>2072.4</v>
      </c>
      <c r="J333" s="25">
        <f t="shared" si="11"/>
        <v>967.80000000000018</v>
      </c>
    </row>
    <row r="334" spans="1:10" x14ac:dyDescent="0.35">
      <c r="A334" s="22">
        <v>46261</v>
      </c>
      <c r="B334" s="23" t="s">
        <v>379</v>
      </c>
      <c r="C334" s="23" t="s">
        <v>36</v>
      </c>
      <c r="D334" s="23" t="s">
        <v>39</v>
      </c>
      <c r="E334" s="23" t="s">
        <v>61</v>
      </c>
      <c r="F334" s="23">
        <v>6</v>
      </c>
      <c r="G334" s="24">
        <v>312.83999999999997</v>
      </c>
      <c r="H334" s="24">
        <v>210.03</v>
      </c>
      <c r="I334" s="25">
        <f t="shared" si="10"/>
        <v>1877.04</v>
      </c>
      <c r="J334" s="25">
        <f t="shared" si="11"/>
        <v>616.8599999999999</v>
      </c>
    </row>
    <row r="335" spans="1:10" x14ac:dyDescent="0.35">
      <c r="A335" s="22">
        <v>46261</v>
      </c>
      <c r="B335" s="23" t="s">
        <v>380</v>
      </c>
      <c r="C335" s="23" t="s">
        <v>32</v>
      </c>
      <c r="D335" s="23" t="s">
        <v>47</v>
      </c>
      <c r="E335" s="23" t="s">
        <v>34</v>
      </c>
      <c r="F335" s="23">
        <v>46</v>
      </c>
      <c r="G335" s="24">
        <v>75.349999999999994</v>
      </c>
      <c r="H335" s="24">
        <v>40.57</v>
      </c>
      <c r="I335" s="25">
        <f t="shared" si="10"/>
        <v>3466.1</v>
      </c>
      <c r="J335" s="25">
        <f t="shared" si="11"/>
        <v>1599.8799999999999</v>
      </c>
    </row>
    <row r="336" spans="1:10" x14ac:dyDescent="0.35">
      <c r="A336" s="22">
        <v>46267</v>
      </c>
      <c r="B336" s="23" t="s">
        <v>381</v>
      </c>
      <c r="C336" s="23" t="s">
        <v>49</v>
      </c>
      <c r="D336" s="23" t="s">
        <v>55</v>
      </c>
      <c r="E336" s="23" t="s">
        <v>40</v>
      </c>
      <c r="F336" s="23">
        <v>11</v>
      </c>
      <c r="G336" s="24">
        <v>233.84</v>
      </c>
      <c r="H336" s="24">
        <v>107.85</v>
      </c>
      <c r="I336" s="25">
        <f t="shared" si="10"/>
        <v>2572.2400000000002</v>
      </c>
      <c r="J336" s="25">
        <f t="shared" si="11"/>
        <v>1385.8900000000003</v>
      </c>
    </row>
    <row r="337" spans="1:10" x14ac:dyDescent="0.35">
      <c r="A337" s="22">
        <v>46267</v>
      </c>
      <c r="B337" s="23" t="s">
        <v>382</v>
      </c>
      <c r="C337" s="23" t="s">
        <v>36</v>
      </c>
      <c r="D337" s="23" t="s">
        <v>37</v>
      </c>
      <c r="E337" s="23" t="s">
        <v>42</v>
      </c>
      <c r="F337" s="23">
        <v>26</v>
      </c>
      <c r="G337" s="24">
        <v>212.61</v>
      </c>
      <c r="H337" s="24">
        <v>48.78</v>
      </c>
      <c r="I337" s="25">
        <f t="shared" si="10"/>
        <v>5527.8600000000006</v>
      </c>
      <c r="J337" s="25">
        <f t="shared" si="11"/>
        <v>4259.5800000000008</v>
      </c>
    </row>
    <row r="338" spans="1:10" x14ac:dyDescent="0.35">
      <c r="A338" s="22">
        <v>46267</v>
      </c>
      <c r="B338" s="23" t="s">
        <v>383</v>
      </c>
      <c r="C338" s="23" t="s">
        <v>44</v>
      </c>
      <c r="D338" s="23" t="s">
        <v>45</v>
      </c>
      <c r="E338" s="23" t="s">
        <v>40</v>
      </c>
      <c r="F338" s="23">
        <v>18</v>
      </c>
      <c r="G338" s="24">
        <v>217.43</v>
      </c>
      <c r="H338" s="24">
        <v>96.16</v>
      </c>
      <c r="I338" s="25">
        <f t="shared" si="10"/>
        <v>3913.7400000000002</v>
      </c>
      <c r="J338" s="25">
        <f t="shared" si="11"/>
        <v>2182.8600000000006</v>
      </c>
    </row>
    <row r="339" spans="1:10" x14ac:dyDescent="0.35">
      <c r="A339" s="22">
        <v>46267</v>
      </c>
      <c r="B339" s="23" t="s">
        <v>384</v>
      </c>
      <c r="C339" s="23" t="s">
        <v>32</v>
      </c>
      <c r="D339" s="23" t="s">
        <v>33</v>
      </c>
      <c r="E339" s="23" t="s">
        <v>42</v>
      </c>
      <c r="F339" s="23">
        <v>31</v>
      </c>
      <c r="G339" s="24">
        <v>249.17</v>
      </c>
      <c r="H339" s="24">
        <v>56.27</v>
      </c>
      <c r="I339" s="25">
        <f t="shared" si="10"/>
        <v>7724.2699999999995</v>
      </c>
      <c r="J339" s="25">
        <f t="shared" si="11"/>
        <v>5979.9</v>
      </c>
    </row>
    <row r="340" spans="1:10" x14ac:dyDescent="0.35">
      <c r="A340" s="22">
        <v>46267</v>
      </c>
      <c r="B340" s="23" t="s">
        <v>385</v>
      </c>
      <c r="C340" s="23" t="s">
        <v>49</v>
      </c>
      <c r="D340" s="23" t="s">
        <v>55</v>
      </c>
      <c r="E340" s="23" t="s">
        <v>40</v>
      </c>
      <c r="F340" s="23">
        <v>9</v>
      </c>
      <c r="G340" s="24">
        <v>571.30999999999995</v>
      </c>
      <c r="H340" s="24">
        <v>267.08999999999997</v>
      </c>
      <c r="I340" s="25">
        <f t="shared" si="10"/>
        <v>5141.7899999999991</v>
      </c>
      <c r="J340" s="25">
        <f t="shared" si="11"/>
        <v>2737.9799999999991</v>
      </c>
    </row>
    <row r="341" spans="1:10" x14ac:dyDescent="0.35">
      <c r="A341" s="22">
        <v>46270</v>
      </c>
      <c r="B341" s="23" t="s">
        <v>386</v>
      </c>
      <c r="C341" s="23" t="s">
        <v>36</v>
      </c>
      <c r="D341" s="23" t="s">
        <v>39</v>
      </c>
      <c r="E341" s="23" t="s">
        <v>40</v>
      </c>
      <c r="F341" s="23">
        <v>18</v>
      </c>
      <c r="G341" s="24">
        <v>414.07</v>
      </c>
      <c r="H341" s="24">
        <v>181.53</v>
      </c>
      <c r="I341" s="25">
        <f t="shared" si="10"/>
        <v>7453.26</v>
      </c>
      <c r="J341" s="25">
        <f t="shared" si="11"/>
        <v>4185.72</v>
      </c>
    </row>
    <row r="342" spans="1:10" x14ac:dyDescent="0.35">
      <c r="A342" s="22">
        <v>46271</v>
      </c>
      <c r="B342" s="23" t="s">
        <v>387</v>
      </c>
      <c r="C342" s="23" t="s">
        <v>49</v>
      </c>
      <c r="D342" s="23" t="s">
        <v>55</v>
      </c>
      <c r="E342" s="23" t="s">
        <v>40</v>
      </c>
      <c r="F342" s="23">
        <v>11</v>
      </c>
      <c r="G342" s="24">
        <v>565.4</v>
      </c>
      <c r="H342" s="24">
        <v>264.3</v>
      </c>
      <c r="I342" s="25">
        <f t="shared" si="10"/>
        <v>6219.4</v>
      </c>
      <c r="J342" s="25">
        <f t="shared" si="11"/>
        <v>3312.0999999999995</v>
      </c>
    </row>
    <row r="343" spans="1:10" x14ac:dyDescent="0.35">
      <c r="A343" s="22">
        <v>46272</v>
      </c>
      <c r="B343" s="23" t="s">
        <v>388</v>
      </c>
      <c r="C343" s="23" t="s">
        <v>44</v>
      </c>
      <c r="D343" s="23" t="s">
        <v>45</v>
      </c>
      <c r="E343" s="23" t="s">
        <v>34</v>
      </c>
      <c r="F343" s="23">
        <v>44</v>
      </c>
      <c r="G343" s="24">
        <v>35.33</v>
      </c>
      <c r="H343" s="24">
        <v>19.55</v>
      </c>
      <c r="I343" s="25">
        <f t="shared" si="10"/>
        <v>1554.52</v>
      </c>
      <c r="J343" s="25">
        <f t="shared" si="11"/>
        <v>694.31999999999994</v>
      </c>
    </row>
    <row r="344" spans="1:10" x14ac:dyDescent="0.35">
      <c r="A344" s="22">
        <v>46272</v>
      </c>
      <c r="B344" s="23" t="s">
        <v>389</v>
      </c>
      <c r="C344" s="23" t="s">
        <v>36</v>
      </c>
      <c r="D344" s="23" t="s">
        <v>39</v>
      </c>
      <c r="E344" s="23" t="s">
        <v>61</v>
      </c>
      <c r="F344" s="23">
        <v>12</v>
      </c>
      <c r="G344" s="24">
        <v>271.82</v>
      </c>
      <c r="H344" s="24">
        <v>186.65</v>
      </c>
      <c r="I344" s="25">
        <f t="shared" si="10"/>
        <v>3261.84</v>
      </c>
      <c r="J344" s="25">
        <f t="shared" si="11"/>
        <v>1022.04</v>
      </c>
    </row>
    <row r="345" spans="1:10" x14ac:dyDescent="0.35">
      <c r="A345" s="22">
        <v>46272</v>
      </c>
      <c r="B345" s="23" t="s">
        <v>390</v>
      </c>
      <c r="C345" s="23" t="s">
        <v>36</v>
      </c>
      <c r="D345" s="23" t="s">
        <v>37</v>
      </c>
      <c r="E345" s="23" t="s">
        <v>61</v>
      </c>
      <c r="F345" s="23">
        <v>12</v>
      </c>
      <c r="G345" s="24">
        <v>895.76</v>
      </c>
      <c r="H345" s="24">
        <v>592.91999999999996</v>
      </c>
      <c r="I345" s="25">
        <f t="shared" si="10"/>
        <v>10749.119999999999</v>
      </c>
      <c r="J345" s="25">
        <f t="shared" si="11"/>
        <v>3634.08</v>
      </c>
    </row>
    <row r="346" spans="1:10" x14ac:dyDescent="0.35">
      <c r="A346" s="22">
        <v>46273</v>
      </c>
      <c r="B346" s="23" t="s">
        <v>391</v>
      </c>
      <c r="C346" s="23" t="s">
        <v>44</v>
      </c>
      <c r="D346" s="23" t="s">
        <v>45</v>
      </c>
      <c r="E346" s="23" t="s">
        <v>61</v>
      </c>
      <c r="F346" s="23">
        <v>2</v>
      </c>
      <c r="G346" s="24">
        <v>518.65</v>
      </c>
      <c r="H346" s="24">
        <v>360.35</v>
      </c>
      <c r="I346" s="25">
        <f t="shared" si="10"/>
        <v>1037.3</v>
      </c>
      <c r="J346" s="25">
        <f t="shared" si="11"/>
        <v>316.59999999999991</v>
      </c>
    </row>
    <row r="347" spans="1:10" x14ac:dyDescent="0.35">
      <c r="A347" s="22">
        <v>46273</v>
      </c>
      <c r="B347" s="23" t="s">
        <v>392</v>
      </c>
      <c r="C347" s="23" t="s">
        <v>44</v>
      </c>
      <c r="D347" s="23" t="s">
        <v>57</v>
      </c>
      <c r="E347" s="23" t="s">
        <v>42</v>
      </c>
      <c r="F347" s="23">
        <v>28</v>
      </c>
      <c r="G347" s="24">
        <v>180.1</v>
      </c>
      <c r="H347" s="24">
        <v>41.56</v>
      </c>
      <c r="I347" s="25">
        <f t="shared" si="10"/>
        <v>5042.8</v>
      </c>
      <c r="J347" s="25">
        <f t="shared" si="11"/>
        <v>3879.12</v>
      </c>
    </row>
    <row r="348" spans="1:10" x14ac:dyDescent="0.35">
      <c r="A348" s="22">
        <v>46273</v>
      </c>
      <c r="B348" s="23" t="s">
        <v>393</v>
      </c>
      <c r="C348" s="23" t="s">
        <v>49</v>
      </c>
      <c r="D348" s="23" t="s">
        <v>50</v>
      </c>
      <c r="E348" s="23" t="s">
        <v>42</v>
      </c>
      <c r="F348" s="23">
        <v>12</v>
      </c>
      <c r="G348" s="24">
        <v>140.63999999999999</v>
      </c>
      <c r="H348" s="24">
        <v>32.29</v>
      </c>
      <c r="I348" s="25">
        <f t="shared" si="10"/>
        <v>1687.6799999999998</v>
      </c>
      <c r="J348" s="25">
        <f t="shared" si="11"/>
        <v>1300.1999999999998</v>
      </c>
    </row>
    <row r="349" spans="1:10" x14ac:dyDescent="0.35">
      <c r="A349" s="22">
        <v>46274</v>
      </c>
      <c r="B349" s="23" t="s">
        <v>394</v>
      </c>
      <c r="C349" s="23" t="s">
        <v>32</v>
      </c>
      <c r="D349" s="23" t="s">
        <v>47</v>
      </c>
      <c r="E349" s="23" t="s">
        <v>40</v>
      </c>
      <c r="F349" s="23">
        <v>11</v>
      </c>
      <c r="G349" s="24">
        <v>177.96</v>
      </c>
      <c r="H349" s="24">
        <v>77.02</v>
      </c>
      <c r="I349" s="25">
        <f t="shared" si="10"/>
        <v>1957.5600000000002</v>
      </c>
      <c r="J349" s="25">
        <f t="shared" si="11"/>
        <v>1110.3400000000001</v>
      </c>
    </row>
    <row r="350" spans="1:10" x14ac:dyDescent="0.35">
      <c r="A350" s="22">
        <v>46275</v>
      </c>
      <c r="B350" s="23" t="s">
        <v>395</v>
      </c>
      <c r="C350" s="23" t="s">
        <v>36</v>
      </c>
      <c r="D350" s="23" t="s">
        <v>37</v>
      </c>
      <c r="E350" s="23" t="s">
        <v>34</v>
      </c>
      <c r="F350" s="23">
        <v>78</v>
      </c>
      <c r="G350" s="24">
        <v>21.71</v>
      </c>
      <c r="H350" s="24">
        <v>12.03</v>
      </c>
      <c r="I350" s="25">
        <f t="shared" si="10"/>
        <v>1693.38</v>
      </c>
      <c r="J350" s="25">
        <f t="shared" si="11"/>
        <v>755.04000000000019</v>
      </c>
    </row>
    <row r="351" spans="1:10" x14ac:dyDescent="0.35">
      <c r="A351" s="22">
        <v>46275</v>
      </c>
      <c r="B351" s="23" t="s">
        <v>396</v>
      </c>
      <c r="C351" s="23" t="s">
        <v>49</v>
      </c>
      <c r="D351" s="23" t="s">
        <v>50</v>
      </c>
      <c r="E351" s="23" t="s">
        <v>34</v>
      </c>
      <c r="F351" s="23">
        <v>27</v>
      </c>
      <c r="G351" s="24">
        <v>55.75</v>
      </c>
      <c r="H351" s="24">
        <v>30.64</v>
      </c>
      <c r="I351" s="25">
        <f t="shared" si="10"/>
        <v>1505.25</v>
      </c>
      <c r="J351" s="25">
        <f t="shared" si="11"/>
        <v>677.97</v>
      </c>
    </row>
    <row r="352" spans="1:10" x14ac:dyDescent="0.35">
      <c r="A352" s="22">
        <v>46275</v>
      </c>
      <c r="B352" s="23" t="s">
        <v>397</v>
      </c>
      <c r="C352" s="23" t="s">
        <v>49</v>
      </c>
      <c r="D352" s="23" t="s">
        <v>50</v>
      </c>
      <c r="E352" s="23" t="s">
        <v>40</v>
      </c>
      <c r="F352" s="23">
        <v>9</v>
      </c>
      <c r="G352" s="24">
        <v>395</v>
      </c>
      <c r="H352" s="24">
        <v>178.32</v>
      </c>
      <c r="I352" s="25">
        <f t="shared" si="10"/>
        <v>3555</v>
      </c>
      <c r="J352" s="25">
        <f t="shared" si="11"/>
        <v>1950.1200000000001</v>
      </c>
    </row>
    <row r="353" spans="1:10" x14ac:dyDescent="0.35">
      <c r="A353" s="22">
        <v>46275</v>
      </c>
      <c r="B353" s="23" t="s">
        <v>398</v>
      </c>
      <c r="C353" s="23" t="s">
        <v>44</v>
      </c>
      <c r="D353" s="23" t="s">
        <v>57</v>
      </c>
      <c r="E353" s="23" t="s">
        <v>34</v>
      </c>
      <c r="F353" s="23">
        <v>45</v>
      </c>
      <c r="G353" s="24">
        <v>54.09</v>
      </c>
      <c r="H353" s="24">
        <v>29.49</v>
      </c>
      <c r="I353" s="25">
        <f t="shared" si="10"/>
        <v>2434.0500000000002</v>
      </c>
      <c r="J353" s="25">
        <f t="shared" si="11"/>
        <v>1107.0000000000002</v>
      </c>
    </row>
    <row r="354" spans="1:10" x14ac:dyDescent="0.35">
      <c r="A354" s="22">
        <v>46277</v>
      </c>
      <c r="B354" s="23" t="s">
        <v>399</v>
      </c>
      <c r="C354" s="23" t="s">
        <v>49</v>
      </c>
      <c r="D354" s="23" t="s">
        <v>55</v>
      </c>
      <c r="E354" s="23" t="s">
        <v>42</v>
      </c>
      <c r="F354" s="23">
        <v>10</v>
      </c>
      <c r="G354" s="24">
        <v>281.77</v>
      </c>
      <c r="H354" s="24">
        <v>61.23</v>
      </c>
      <c r="I354" s="25">
        <f t="shared" si="10"/>
        <v>2817.7</v>
      </c>
      <c r="J354" s="25">
        <f t="shared" si="11"/>
        <v>2205.3999999999996</v>
      </c>
    </row>
    <row r="355" spans="1:10" x14ac:dyDescent="0.35">
      <c r="A355" s="22">
        <v>46278</v>
      </c>
      <c r="B355" s="23" t="s">
        <v>400</v>
      </c>
      <c r="C355" s="23" t="s">
        <v>44</v>
      </c>
      <c r="D355" s="23" t="s">
        <v>57</v>
      </c>
      <c r="E355" s="23" t="s">
        <v>40</v>
      </c>
      <c r="F355" s="23">
        <v>2</v>
      </c>
      <c r="G355" s="24">
        <v>250.21</v>
      </c>
      <c r="H355" s="24">
        <v>107</v>
      </c>
      <c r="I355" s="25">
        <f t="shared" si="10"/>
        <v>500.42</v>
      </c>
      <c r="J355" s="25">
        <f t="shared" si="11"/>
        <v>286.42</v>
      </c>
    </row>
    <row r="356" spans="1:10" x14ac:dyDescent="0.35">
      <c r="A356" s="22">
        <v>46279</v>
      </c>
      <c r="B356" s="23" t="s">
        <v>401</v>
      </c>
      <c r="C356" s="23" t="s">
        <v>49</v>
      </c>
      <c r="D356" s="23" t="s">
        <v>50</v>
      </c>
      <c r="E356" s="23" t="s">
        <v>40</v>
      </c>
      <c r="F356" s="23">
        <v>9</v>
      </c>
      <c r="G356" s="24">
        <v>510.9</v>
      </c>
      <c r="H356" s="24">
        <v>237.39</v>
      </c>
      <c r="I356" s="25">
        <f t="shared" si="10"/>
        <v>4598.0999999999995</v>
      </c>
      <c r="J356" s="25">
        <f t="shared" si="11"/>
        <v>2461.5899999999997</v>
      </c>
    </row>
    <row r="357" spans="1:10" x14ac:dyDescent="0.35">
      <c r="A357" s="22">
        <v>46280</v>
      </c>
      <c r="B357" s="23" t="s">
        <v>402</v>
      </c>
      <c r="C357" s="23" t="s">
        <v>36</v>
      </c>
      <c r="D357" s="23" t="s">
        <v>39</v>
      </c>
      <c r="E357" s="23" t="s">
        <v>40</v>
      </c>
      <c r="F357" s="23">
        <v>18</v>
      </c>
      <c r="G357" s="24">
        <v>472.61</v>
      </c>
      <c r="H357" s="24">
        <v>212.44</v>
      </c>
      <c r="I357" s="25">
        <f t="shared" si="10"/>
        <v>8506.98</v>
      </c>
      <c r="J357" s="25">
        <f t="shared" si="11"/>
        <v>4683.0599999999995</v>
      </c>
    </row>
    <row r="358" spans="1:10" x14ac:dyDescent="0.35">
      <c r="A358" s="22">
        <v>46280</v>
      </c>
      <c r="B358" s="23" t="s">
        <v>403</v>
      </c>
      <c r="C358" s="23" t="s">
        <v>36</v>
      </c>
      <c r="D358" s="23" t="s">
        <v>37</v>
      </c>
      <c r="E358" s="23" t="s">
        <v>42</v>
      </c>
      <c r="F358" s="23">
        <v>8</v>
      </c>
      <c r="G358" s="24">
        <v>192.91</v>
      </c>
      <c r="H358" s="24">
        <v>42.26</v>
      </c>
      <c r="I358" s="25">
        <f t="shared" si="10"/>
        <v>1543.28</v>
      </c>
      <c r="J358" s="25">
        <f t="shared" si="11"/>
        <v>1205.2</v>
      </c>
    </row>
    <row r="359" spans="1:10" x14ac:dyDescent="0.35">
      <c r="A359" s="22">
        <v>46281</v>
      </c>
      <c r="B359" s="23" t="s">
        <v>404</v>
      </c>
      <c r="C359" s="23" t="s">
        <v>32</v>
      </c>
      <c r="D359" s="23" t="s">
        <v>47</v>
      </c>
      <c r="E359" s="23" t="s">
        <v>34</v>
      </c>
      <c r="F359" s="23">
        <v>67</v>
      </c>
      <c r="G359" s="24">
        <v>15.51</v>
      </c>
      <c r="H359" s="24">
        <v>8.43</v>
      </c>
      <c r="I359" s="25">
        <f t="shared" si="10"/>
        <v>1039.17</v>
      </c>
      <c r="J359" s="25">
        <f t="shared" si="11"/>
        <v>474.36000000000013</v>
      </c>
    </row>
    <row r="360" spans="1:10" x14ac:dyDescent="0.35">
      <c r="A360" s="22">
        <v>46282</v>
      </c>
      <c r="B360" s="23" t="s">
        <v>405</v>
      </c>
      <c r="C360" s="23" t="s">
        <v>32</v>
      </c>
      <c r="D360" s="23" t="s">
        <v>47</v>
      </c>
      <c r="E360" s="23" t="s">
        <v>61</v>
      </c>
      <c r="F360" s="23">
        <v>3</v>
      </c>
      <c r="G360" s="24">
        <v>685.02</v>
      </c>
      <c r="H360" s="24">
        <v>451.13</v>
      </c>
      <c r="I360" s="25">
        <f t="shared" si="10"/>
        <v>2055.06</v>
      </c>
      <c r="J360" s="25">
        <f t="shared" si="11"/>
        <v>701.67000000000007</v>
      </c>
    </row>
    <row r="361" spans="1:10" x14ac:dyDescent="0.35">
      <c r="A361" s="22">
        <v>46283</v>
      </c>
      <c r="B361" s="23" t="s">
        <v>406</v>
      </c>
      <c r="C361" s="23" t="s">
        <v>49</v>
      </c>
      <c r="D361" s="23" t="s">
        <v>50</v>
      </c>
      <c r="E361" s="23" t="s">
        <v>40</v>
      </c>
      <c r="F361" s="23">
        <v>10</v>
      </c>
      <c r="G361" s="24">
        <v>288.68</v>
      </c>
      <c r="H361" s="24">
        <v>123.69</v>
      </c>
      <c r="I361" s="25">
        <f t="shared" si="10"/>
        <v>2886.8</v>
      </c>
      <c r="J361" s="25">
        <f t="shared" si="11"/>
        <v>1649.9</v>
      </c>
    </row>
    <row r="362" spans="1:10" x14ac:dyDescent="0.35">
      <c r="A362" s="22">
        <v>46284</v>
      </c>
      <c r="B362" s="23" t="s">
        <v>407</v>
      </c>
      <c r="C362" s="23" t="s">
        <v>44</v>
      </c>
      <c r="D362" s="23" t="s">
        <v>45</v>
      </c>
      <c r="E362" s="23" t="s">
        <v>61</v>
      </c>
      <c r="F362" s="23">
        <v>7</v>
      </c>
      <c r="G362" s="24">
        <v>806.5</v>
      </c>
      <c r="H362" s="24">
        <v>570.19000000000005</v>
      </c>
      <c r="I362" s="25">
        <f t="shared" si="10"/>
        <v>5645.5</v>
      </c>
      <c r="J362" s="25">
        <f t="shared" si="11"/>
        <v>1654.1699999999996</v>
      </c>
    </row>
    <row r="363" spans="1:10" x14ac:dyDescent="0.35">
      <c r="A363" s="22">
        <v>46284</v>
      </c>
      <c r="B363" s="23" t="s">
        <v>408</v>
      </c>
      <c r="C363" s="23" t="s">
        <v>32</v>
      </c>
      <c r="D363" s="23" t="s">
        <v>47</v>
      </c>
      <c r="E363" s="23" t="s">
        <v>40</v>
      </c>
      <c r="F363" s="23">
        <v>9</v>
      </c>
      <c r="G363" s="24">
        <v>497.64</v>
      </c>
      <c r="H363" s="24">
        <v>231.07</v>
      </c>
      <c r="I363" s="25">
        <f t="shared" si="10"/>
        <v>4478.76</v>
      </c>
      <c r="J363" s="25">
        <f t="shared" si="11"/>
        <v>2399.13</v>
      </c>
    </row>
    <row r="364" spans="1:10" x14ac:dyDescent="0.35">
      <c r="A364" s="22">
        <v>46286</v>
      </c>
      <c r="B364" s="23" t="s">
        <v>409</v>
      </c>
      <c r="C364" s="23" t="s">
        <v>49</v>
      </c>
      <c r="D364" s="23" t="s">
        <v>50</v>
      </c>
      <c r="E364" s="23" t="s">
        <v>42</v>
      </c>
      <c r="F364" s="23">
        <v>25</v>
      </c>
      <c r="G364" s="24">
        <v>123.88</v>
      </c>
      <c r="H364" s="24">
        <v>28.52</v>
      </c>
      <c r="I364" s="25">
        <f t="shared" si="10"/>
        <v>3097</v>
      </c>
      <c r="J364" s="25">
        <f t="shared" si="11"/>
        <v>2384</v>
      </c>
    </row>
    <row r="365" spans="1:10" x14ac:dyDescent="0.35">
      <c r="A365" s="22">
        <v>46286</v>
      </c>
      <c r="B365" s="23" t="s">
        <v>410</v>
      </c>
      <c r="C365" s="23" t="s">
        <v>32</v>
      </c>
      <c r="D365" s="23" t="s">
        <v>33</v>
      </c>
      <c r="E365" s="23" t="s">
        <v>40</v>
      </c>
      <c r="F365" s="23">
        <v>11</v>
      </c>
      <c r="G365" s="24">
        <v>156.34</v>
      </c>
      <c r="H365" s="24">
        <v>69.209999999999994</v>
      </c>
      <c r="I365" s="25">
        <f t="shared" si="10"/>
        <v>1719.74</v>
      </c>
      <c r="J365" s="25">
        <f t="shared" si="11"/>
        <v>958.43000000000006</v>
      </c>
    </row>
    <row r="366" spans="1:10" x14ac:dyDescent="0.35">
      <c r="A366" s="22">
        <v>46287</v>
      </c>
      <c r="B366" s="23" t="s">
        <v>411</v>
      </c>
      <c r="C366" s="23" t="s">
        <v>44</v>
      </c>
      <c r="D366" s="23" t="s">
        <v>57</v>
      </c>
      <c r="E366" s="23" t="s">
        <v>61</v>
      </c>
      <c r="F366" s="23">
        <v>7</v>
      </c>
      <c r="G366" s="24">
        <v>607.73</v>
      </c>
      <c r="H366" s="24">
        <v>430.99</v>
      </c>
      <c r="I366" s="25">
        <f t="shared" si="10"/>
        <v>4254.1100000000006</v>
      </c>
      <c r="J366" s="25">
        <f t="shared" si="11"/>
        <v>1237.1800000000003</v>
      </c>
    </row>
    <row r="367" spans="1:10" x14ac:dyDescent="0.35">
      <c r="A367" s="22">
        <v>46287</v>
      </c>
      <c r="B367" s="23" t="s">
        <v>412</v>
      </c>
      <c r="C367" s="23" t="s">
        <v>36</v>
      </c>
      <c r="D367" s="23" t="s">
        <v>39</v>
      </c>
      <c r="E367" s="23" t="s">
        <v>42</v>
      </c>
      <c r="F367" s="23">
        <v>12</v>
      </c>
      <c r="G367" s="24">
        <v>196.2</v>
      </c>
      <c r="H367" s="24">
        <v>42.57</v>
      </c>
      <c r="I367" s="25">
        <f t="shared" si="10"/>
        <v>2354.3999999999996</v>
      </c>
      <c r="J367" s="25">
        <f t="shared" si="11"/>
        <v>1843.5599999999995</v>
      </c>
    </row>
    <row r="368" spans="1:10" x14ac:dyDescent="0.35">
      <c r="A368" s="22">
        <v>46287</v>
      </c>
      <c r="B368" s="23" t="s">
        <v>413</v>
      </c>
      <c r="C368" s="23" t="s">
        <v>44</v>
      </c>
      <c r="D368" s="23" t="s">
        <v>57</v>
      </c>
      <c r="E368" s="23" t="s">
        <v>40</v>
      </c>
      <c r="F368" s="23">
        <v>19</v>
      </c>
      <c r="G368" s="24">
        <v>306.5</v>
      </c>
      <c r="H368" s="24">
        <v>133.49</v>
      </c>
      <c r="I368" s="25">
        <f t="shared" si="10"/>
        <v>5823.5</v>
      </c>
      <c r="J368" s="25">
        <f t="shared" si="11"/>
        <v>3287.1899999999996</v>
      </c>
    </row>
    <row r="369" spans="1:10" x14ac:dyDescent="0.35">
      <c r="A369" s="22">
        <v>46288</v>
      </c>
      <c r="B369" s="23" t="s">
        <v>414</v>
      </c>
      <c r="C369" s="23" t="s">
        <v>36</v>
      </c>
      <c r="D369" s="23" t="s">
        <v>39</v>
      </c>
      <c r="E369" s="23" t="s">
        <v>40</v>
      </c>
      <c r="F369" s="23">
        <v>9</v>
      </c>
      <c r="G369" s="24">
        <v>573.29</v>
      </c>
      <c r="H369" s="24">
        <v>254.56</v>
      </c>
      <c r="I369" s="25">
        <f t="shared" si="10"/>
        <v>5159.6099999999997</v>
      </c>
      <c r="J369" s="25">
        <f t="shared" si="11"/>
        <v>2868.5699999999997</v>
      </c>
    </row>
    <row r="370" spans="1:10" x14ac:dyDescent="0.35">
      <c r="A370" s="22">
        <v>46288</v>
      </c>
      <c r="B370" s="23" t="s">
        <v>415</v>
      </c>
      <c r="C370" s="23" t="s">
        <v>36</v>
      </c>
      <c r="D370" s="23" t="s">
        <v>39</v>
      </c>
      <c r="E370" s="23" t="s">
        <v>42</v>
      </c>
      <c r="F370" s="23">
        <v>35</v>
      </c>
      <c r="G370" s="24">
        <v>93.26</v>
      </c>
      <c r="H370" s="24">
        <v>21.33</v>
      </c>
      <c r="I370" s="25">
        <f t="shared" si="10"/>
        <v>3264.1000000000004</v>
      </c>
      <c r="J370" s="25">
        <f t="shared" si="11"/>
        <v>2517.5500000000002</v>
      </c>
    </row>
    <row r="371" spans="1:10" x14ac:dyDescent="0.35">
      <c r="A371" s="22">
        <v>46289</v>
      </c>
      <c r="B371" s="23" t="s">
        <v>416</v>
      </c>
      <c r="C371" s="23" t="s">
        <v>36</v>
      </c>
      <c r="D371" s="23" t="s">
        <v>37</v>
      </c>
      <c r="E371" s="23" t="s">
        <v>34</v>
      </c>
      <c r="F371" s="23">
        <v>32</v>
      </c>
      <c r="G371" s="24">
        <v>28.13</v>
      </c>
      <c r="H371" s="24">
        <v>16.059999999999999</v>
      </c>
      <c r="I371" s="25">
        <f t="shared" si="10"/>
        <v>900.16</v>
      </c>
      <c r="J371" s="25">
        <f t="shared" si="11"/>
        <v>386.24</v>
      </c>
    </row>
    <row r="372" spans="1:10" x14ac:dyDescent="0.35">
      <c r="A372" s="22">
        <v>46290</v>
      </c>
      <c r="B372" s="23" t="s">
        <v>417</v>
      </c>
      <c r="C372" s="23" t="s">
        <v>32</v>
      </c>
      <c r="D372" s="23" t="s">
        <v>33</v>
      </c>
      <c r="E372" s="23" t="s">
        <v>34</v>
      </c>
      <c r="F372" s="23">
        <v>11</v>
      </c>
      <c r="G372" s="24">
        <v>37.65</v>
      </c>
      <c r="H372" s="24">
        <v>21.17</v>
      </c>
      <c r="I372" s="25">
        <f t="shared" si="10"/>
        <v>414.15</v>
      </c>
      <c r="J372" s="25">
        <f t="shared" si="11"/>
        <v>181.27999999999997</v>
      </c>
    </row>
    <row r="373" spans="1:10" x14ac:dyDescent="0.35">
      <c r="A373" s="22">
        <v>46292</v>
      </c>
      <c r="B373" s="23" t="s">
        <v>418</v>
      </c>
      <c r="C373" s="23" t="s">
        <v>36</v>
      </c>
      <c r="D373" s="23" t="s">
        <v>37</v>
      </c>
      <c r="E373" s="23" t="s">
        <v>40</v>
      </c>
      <c r="F373" s="23">
        <v>13</v>
      </c>
      <c r="G373" s="24">
        <v>410.24</v>
      </c>
      <c r="H373" s="24">
        <v>176.21</v>
      </c>
      <c r="I373" s="25">
        <f t="shared" si="10"/>
        <v>5333.12</v>
      </c>
      <c r="J373" s="25">
        <f t="shared" si="11"/>
        <v>3042.39</v>
      </c>
    </row>
    <row r="374" spans="1:10" x14ac:dyDescent="0.35">
      <c r="A374" s="22">
        <v>46293</v>
      </c>
      <c r="B374" s="23" t="s">
        <v>419</v>
      </c>
      <c r="C374" s="23" t="s">
        <v>49</v>
      </c>
      <c r="D374" s="23" t="s">
        <v>50</v>
      </c>
      <c r="E374" s="23" t="s">
        <v>42</v>
      </c>
      <c r="F374" s="23">
        <v>34</v>
      </c>
      <c r="G374" s="24">
        <v>257.94</v>
      </c>
      <c r="H374" s="24">
        <v>55.79</v>
      </c>
      <c r="I374" s="25">
        <f t="shared" si="10"/>
        <v>8769.9599999999991</v>
      </c>
      <c r="J374" s="25">
        <f t="shared" si="11"/>
        <v>6873.0999999999995</v>
      </c>
    </row>
    <row r="375" spans="1:10" x14ac:dyDescent="0.35">
      <c r="A375" s="22">
        <v>46293</v>
      </c>
      <c r="B375" s="23" t="s">
        <v>420</v>
      </c>
      <c r="C375" s="23" t="s">
        <v>36</v>
      </c>
      <c r="D375" s="23" t="s">
        <v>37</v>
      </c>
      <c r="E375" s="23" t="s">
        <v>61</v>
      </c>
      <c r="F375" s="23">
        <v>9</v>
      </c>
      <c r="G375" s="24">
        <v>278.75</v>
      </c>
      <c r="H375" s="24">
        <v>188.39</v>
      </c>
      <c r="I375" s="25">
        <f t="shared" si="10"/>
        <v>2508.75</v>
      </c>
      <c r="J375" s="25">
        <f t="shared" si="11"/>
        <v>813.24000000000024</v>
      </c>
    </row>
  </sheetData>
  <autoFilter ref="A1:J37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7280"/>
  </sheetPr>
  <dimension ref="A1:H60"/>
  <sheetViews>
    <sheetView zoomScaleNormal="100" workbookViewId="0"/>
  </sheetViews>
  <sheetFormatPr baseColWidth="10" defaultColWidth="8.6328125" defaultRowHeight="14.5" x14ac:dyDescent="0.35"/>
  <cols>
    <col min="1" max="1" width="30" customWidth="1"/>
    <col min="2" max="8" width="15" customWidth="1"/>
  </cols>
  <sheetData>
    <row r="1" spans="1:8" ht="15.5" x14ac:dyDescent="0.35">
      <c r="A1" s="26" t="s">
        <v>421</v>
      </c>
    </row>
    <row r="2" spans="1:8" x14ac:dyDescent="0.35">
      <c r="A2" s="27" t="s">
        <v>422</v>
      </c>
      <c r="B2" s="27" t="str">
        <f>Dashboard!C4</f>
        <v>All</v>
      </c>
    </row>
    <row r="3" spans="1:8" x14ac:dyDescent="0.35">
      <c r="A3" s="27" t="s">
        <v>423</v>
      </c>
      <c r="B3" s="27" t="str">
        <f>IF(B2="All","*",B2)</f>
        <v>*</v>
      </c>
    </row>
    <row r="4" spans="1:8" x14ac:dyDescent="0.35">
      <c r="A4" s="27" t="s">
        <v>424</v>
      </c>
      <c r="B4" s="28">
        <v>45931</v>
      </c>
    </row>
    <row r="5" spans="1:8" x14ac:dyDescent="0.35">
      <c r="A5" s="27" t="s">
        <v>425</v>
      </c>
      <c r="B5" s="29">
        <f>EDATE(B4,12)</f>
        <v>46296</v>
      </c>
    </row>
    <row r="7" spans="1:8" x14ac:dyDescent="0.35">
      <c r="A7" s="13" t="s">
        <v>426</v>
      </c>
      <c r="B7" s="13" t="s">
        <v>15</v>
      </c>
      <c r="C7" s="13" t="s">
        <v>18</v>
      </c>
      <c r="D7" s="13" t="s">
        <v>427</v>
      </c>
      <c r="E7" s="13" t="s">
        <v>26</v>
      </c>
      <c r="F7" s="13" t="s">
        <v>16</v>
      </c>
      <c r="G7" s="13" t="s">
        <v>19</v>
      </c>
      <c r="H7" s="13" t="s">
        <v>428</v>
      </c>
    </row>
    <row r="8" spans="1:8" x14ac:dyDescent="0.35">
      <c r="A8" s="30">
        <f>$B$4</f>
        <v>45931</v>
      </c>
      <c r="B8" s="31">
        <f>SUMIFS(Data!$I$2:$I$2000,Data!$A$2:$A$2000,"&gt;="&amp;$A8,Data!$A$2:$A$2000,"&lt;"&amp;EDATE($A8,1),Data!$C$2:$C$2000,$B$3)</f>
        <v>91979.87</v>
      </c>
      <c r="C8" s="31">
        <f>SUMIFS(Data!$J$2:$J$2000,Data!$A$2:$A$2000,"&gt;="&amp;$A8,Data!$A$2:$A$2000,"&lt;"&amp;EDATE($A8,1),Data!$C$2:$C$2000,$B$3)</f>
        <v>54829.26999999999</v>
      </c>
      <c r="D8" s="27">
        <f>COUNTIFS(Data!$A$2:$A$2000,"&gt;="&amp;$A8,Data!$A$2:$A$2000,"&lt;"&amp;EDATE($A8,1),Data!$C$2:$C$2000,$B$3)</f>
        <v>25</v>
      </c>
      <c r="E8" s="27">
        <f>SUMIFS(Data!$F$2:$F$2000,Data!$A$2:$A$2000,"&gt;="&amp;$A8,Data!$A$2:$A$2000,"&lt;"&amp;EDATE($A8,1),Data!$C$2:$C$2000,$B$3)</f>
        <v>574</v>
      </c>
      <c r="F8" s="31">
        <f t="shared" ref="F8:F19" si="0">IF($B$2="All",SUM($E$23:$E$26),INDEX($E$23:$E$26,MATCH($B$2,$A$23:$A$26,0)))/12</f>
        <v>123166.66666666667</v>
      </c>
      <c r="G8" s="32">
        <f t="shared" ref="G8:G19" si="1">IFERROR(C8/B8,0)</f>
        <v>0.59610075552400754</v>
      </c>
      <c r="H8" s="27" t="str">
        <f t="shared" ref="H8:H19" si="2">TEXT(A8,"mmm yy")</f>
        <v>Oct 25</v>
      </c>
    </row>
    <row r="9" spans="1:8" x14ac:dyDescent="0.35">
      <c r="A9" s="30">
        <f t="shared" ref="A9:A19" si="3">EDATE(A8,1)</f>
        <v>45962</v>
      </c>
      <c r="B9" s="31">
        <f>SUMIFS(Data!$I$2:$I$2000,Data!$A$2:$A$2000,"&gt;="&amp;$A9,Data!$A$2:$A$2000,"&lt;"&amp;EDATE($A9,1),Data!$C$2:$C$2000,$B$3)</f>
        <v>100542.15000000001</v>
      </c>
      <c r="C9" s="31">
        <f>SUMIFS(Data!$J$2:$J$2000,Data!$A$2:$A$2000,"&gt;="&amp;$A9,Data!$A$2:$A$2000,"&lt;"&amp;EDATE($A9,1),Data!$C$2:$C$2000,$B$3)</f>
        <v>55745.01</v>
      </c>
      <c r="D9" s="27">
        <f>COUNTIFS(Data!$A$2:$A$2000,"&gt;="&amp;$A9,Data!$A$2:$A$2000,"&lt;"&amp;EDATE($A9,1),Data!$C$2:$C$2000,$B$3)</f>
        <v>28</v>
      </c>
      <c r="E9" s="27">
        <f>SUMIFS(Data!$F$2:$F$2000,Data!$A$2:$A$2000,"&gt;="&amp;$A9,Data!$A$2:$A$2000,"&lt;"&amp;EDATE($A9,1),Data!$C$2:$C$2000,$B$3)</f>
        <v>499</v>
      </c>
      <c r="F9" s="31">
        <f t="shared" si="0"/>
        <v>123166.66666666667</v>
      </c>
      <c r="G9" s="32">
        <f t="shared" si="1"/>
        <v>0.55444418087339487</v>
      </c>
      <c r="H9" s="27" t="str">
        <f t="shared" si="2"/>
        <v>Nov 25</v>
      </c>
    </row>
    <row r="10" spans="1:8" x14ac:dyDescent="0.35">
      <c r="A10" s="30">
        <f t="shared" si="3"/>
        <v>45992</v>
      </c>
      <c r="B10" s="31">
        <f>SUMIFS(Data!$I$2:$I$2000,Data!$A$2:$A$2000,"&gt;="&amp;$A10,Data!$A$2:$A$2000,"&lt;"&amp;EDATE($A10,1),Data!$C$2:$C$2000,$B$3)</f>
        <v>126462.09999999999</v>
      </c>
      <c r="C10" s="31">
        <f>SUMIFS(Data!$J$2:$J$2000,Data!$A$2:$A$2000,"&gt;="&amp;$A10,Data!$A$2:$A$2000,"&lt;"&amp;EDATE($A10,1),Data!$C$2:$C$2000,$B$3)</f>
        <v>76841.779999999984</v>
      </c>
      <c r="D10" s="27">
        <f>COUNTIFS(Data!$A$2:$A$2000,"&gt;="&amp;$A10,Data!$A$2:$A$2000,"&lt;"&amp;EDATE($A10,1),Data!$C$2:$C$2000,$B$3)</f>
        <v>34</v>
      </c>
      <c r="E10" s="27">
        <f>SUMIFS(Data!$F$2:$F$2000,Data!$A$2:$A$2000,"&gt;="&amp;$A10,Data!$A$2:$A$2000,"&lt;"&amp;EDATE($A10,1),Data!$C$2:$C$2000,$B$3)</f>
        <v>852</v>
      </c>
      <c r="F10" s="31">
        <f t="shared" si="0"/>
        <v>123166.66666666667</v>
      </c>
      <c r="G10" s="32">
        <f t="shared" si="1"/>
        <v>0.60762694910174664</v>
      </c>
      <c r="H10" s="27" t="str">
        <f t="shared" si="2"/>
        <v>Dec 25</v>
      </c>
    </row>
    <row r="11" spans="1:8" x14ac:dyDescent="0.35">
      <c r="A11" s="30">
        <f t="shared" si="3"/>
        <v>46023</v>
      </c>
      <c r="B11" s="31">
        <f>SUMIFS(Data!$I$2:$I$2000,Data!$A$2:$A$2000,"&gt;="&amp;$A11,Data!$A$2:$A$2000,"&lt;"&amp;EDATE($A11,1),Data!$C$2:$C$2000,$B$3)</f>
        <v>92891.840000000011</v>
      </c>
      <c r="C11" s="31">
        <f>SUMIFS(Data!$J$2:$J$2000,Data!$A$2:$A$2000,"&gt;="&amp;$A11,Data!$A$2:$A$2000,"&lt;"&amp;EDATE($A11,1),Data!$C$2:$C$2000,$B$3)</f>
        <v>54410.869999999988</v>
      </c>
      <c r="D11" s="27">
        <f>COUNTIFS(Data!$A$2:$A$2000,"&gt;="&amp;$A11,Data!$A$2:$A$2000,"&lt;"&amp;EDATE($A11,1),Data!$C$2:$C$2000,$B$3)</f>
        <v>23</v>
      </c>
      <c r="E11" s="27">
        <f>SUMIFS(Data!$F$2:$F$2000,Data!$A$2:$A$2000,"&gt;="&amp;$A11,Data!$A$2:$A$2000,"&lt;"&amp;EDATE($A11,1),Data!$C$2:$C$2000,$B$3)</f>
        <v>511</v>
      </c>
      <c r="F11" s="31">
        <f t="shared" si="0"/>
        <v>123166.66666666667</v>
      </c>
      <c r="G11" s="32">
        <f t="shared" si="1"/>
        <v>0.58574434525142338</v>
      </c>
      <c r="H11" s="27" t="str">
        <f t="shared" si="2"/>
        <v>Jan 26</v>
      </c>
    </row>
    <row r="12" spans="1:8" x14ac:dyDescent="0.35">
      <c r="A12" s="30">
        <f t="shared" si="3"/>
        <v>46054</v>
      </c>
      <c r="B12" s="31">
        <f>SUMIFS(Data!$I$2:$I$2000,Data!$A$2:$A$2000,"&gt;="&amp;$A12,Data!$A$2:$A$2000,"&lt;"&amp;EDATE($A12,1),Data!$C$2:$C$2000,$B$3)</f>
        <v>95290.06</v>
      </c>
      <c r="C12" s="31">
        <f>SUMIFS(Data!$J$2:$J$2000,Data!$A$2:$A$2000,"&gt;="&amp;$A12,Data!$A$2:$A$2000,"&lt;"&amp;EDATE($A12,1),Data!$C$2:$C$2000,$B$3)</f>
        <v>56558.41</v>
      </c>
      <c r="D12" s="27">
        <f>COUNTIFS(Data!$A$2:$A$2000,"&gt;="&amp;$A12,Data!$A$2:$A$2000,"&lt;"&amp;EDATE($A12,1),Data!$C$2:$C$2000,$B$3)</f>
        <v>25</v>
      </c>
      <c r="E12" s="27">
        <f>SUMIFS(Data!$F$2:$F$2000,Data!$A$2:$A$2000,"&gt;="&amp;$A12,Data!$A$2:$A$2000,"&lt;"&amp;EDATE($A12,1),Data!$C$2:$C$2000,$B$3)</f>
        <v>518</v>
      </c>
      <c r="F12" s="31">
        <f t="shared" si="0"/>
        <v>123166.66666666667</v>
      </c>
      <c r="G12" s="32">
        <f t="shared" si="1"/>
        <v>0.59353945206876779</v>
      </c>
      <c r="H12" s="27" t="str">
        <f t="shared" si="2"/>
        <v>Feb 26</v>
      </c>
    </row>
    <row r="13" spans="1:8" x14ac:dyDescent="0.35">
      <c r="A13" s="30">
        <f t="shared" si="3"/>
        <v>46082</v>
      </c>
      <c r="B13" s="31">
        <f>SUMIFS(Data!$I$2:$I$2000,Data!$A$2:$A$2000,"&gt;="&amp;$A13,Data!$A$2:$A$2000,"&lt;"&amp;EDATE($A13,1),Data!$C$2:$C$2000,$B$3)</f>
        <v>136010.5</v>
      </c>
      <c r="C13" s="31">
        <f>SUMIFS(Data!$J$2:$J$2000,Data!$A$2:$A$2000,"&gt;="&amp;$A13,Data!$A$2:$A$2000,"&lt;"&amp;EDATE($A13,1),Data!$C$2:$C$2000,$B$3)</f>
        <v>82435.780000000028</v>
      </c>
      <c r="D13" s="27">
        <f>COUNTIFS(Data!$A$2:$A$2000,"&gt;="&amp;$A13,Data!$A$2:$A$2000,"&lt;"&amp;EDATE($A13,1),Data!$C$2:$C$2000,$B$3)</f>
        <v>29</v>
      </c>
      <c r="E13" s="27">
        <f>SUMIFS(Data!$F$2:$F$2000,Data!$A$2:$A$2000,"&gt;="&amp;$A13,Data!$A$2:$A$2000,"&lt;"&amp;EDATE($A13,1),Data!$C$2:$C$2000,$B$3)</f>
        <v>521</v>
      </c>
      <c r="F13" s="31">
        <f t="shared" si="0"/>
        <v>123166.66666666667</v>
      </c>
      <c r="G13" s="32">
        <f t="shared" si="1"/>
        <v>0.60609864679565206</v>
      </c>
      <c r="H13" s="27" t="str">
        <f t="shared" si="2"/>
        <v>Mar 26</v>
      </c>
    </row>
    <row r="14" spans="1:8" x14ac:dyDescent="0.35">
      <c r="A14" s="30">
        <f t="shared" si="3"/>
        <v>46113</v>
      </c>
      <c r="B14" s="31">
        <f>SUMIFS(Data!$I$2:$I$2000,Data!$A$2:$A$2000,"&gt;="&amp;$A14,Data!$A$2:$A$2000,"&lt;"&amp;EDATE($A14,1),Data!$C$2:$C$2000,$B$3)</f>
        <v>109432.34000000001</v>
      </c>
      <c r="C14" s="31">
        <f>SUMIFS(Data!$J$2:$J$2000,Data!$A$2:$A$2000,"&gt;="&amp;$A14,Data!$A$2:$A$2000,"&lt;"&amp;EDATE($A14,1),Data!$C$2:$C$2000,$B$3)</f>
        <v>51388.06</v>
      </c>
      <c r="D14" s="27">
        <f>COUNTIFS(Data!$A$2:$A$2000,"&gt;="&amp;$A14,Data!$A$2:$A$2000,"&lt;"&amp;EDATE($A14,1),Data!$C$2:$C$2000,$B$3)</f>
        <v>31</v>
      </c>
      <c r="E14" s="27">
        <f>SUMIFS(Data!$F$2:$F$2000,Data!$A$2:$A$2000,"&gt;="&amp;$A14,Data!$A$2:$A$2000,"&lt;"&amp;EDATE($A14,1),Data!$C$2:$C$2000,$B$3)</f>
        <v>625</v>
      </c>
      <c r="F14" s="31">
        <f t="shared" si="0"/>
        <v>123166.66666666667</v>
      </c>
      <c r="G14" s="32">
        <f t="shared" si="1"/>
        <v>0.46958750950587358</v>
      </c>
      <c r="H14" s="27" t="str">
        <f t="shared" si="2"/>
        <v>Apr 26</v>
      </c>
    </row>
    <row r="15" spans="1:8" x14ac:dyDescent="0.35">
      <c r="A15" s="30">
        <f t="shared" si="3"/>
        <v>46143</v>
      </c>
      <c r="B15" s="31">
        <f>SUMIFS(Data!$I$2:$I$2000,Data!$A$2:$A$2000,"&gt;="&amp;$A15,Data!$A$2:$A$2000,"&lt;"&amp;EDATE($A15,1),Data!$C$2:$C$2000,$B$3)</f>
        <v>127692.69</v>
      </c>
      <c r="C15" s="31">
        <f>SUMIFS(Data!$J$2:$J$2000,Data!$A$2:$A$2000,"&gt;="&amp;$A15,Data!$A$2:$A$2000,"&lt;"&amp;EDATE($A15,1),Data!$C$2:$C$2000,$B$3)</f>
        <v>72501.140000000014</v>
      </c>
      <c r="D15" s="27">
        <f>COUNTIFS(Data!$A$2:$A$2000,"&gt;="&amp;$A15,Data!$A$2:$A$2000,"&lt;"&amp;EDATE($A15,1),Data!$C$2:$C$2000,$B$3)</f>
        <v>33</v>
      </c>
      <c r="E15" s="27">
        <f>SUMIFS(Data!$F$2:$F$2000,Data!$A$2:$A$2000,"&gt;="&amp;$A15,Data!$A$2:$A$2000,"&lt;"&amp;EDATE($A15,1),Data!$C$2:$C$2000,$B$3)</f>
        <v>681</v>
      </c>
      <c r="F15" s="31">
        <f t="shared" si="0"/>
        <v>123166.66666666667</v>
      </c>
      <c r="G15" s="32">
        <f t="shared" si="1"/>
        <v>0.56777831213360774</v>
      </c>
      <c r="H15" s="27" t="str">
        <f t="shared" si="2"/>
        <v>May 26</v>
      </c>
    </row>
    <row r="16" spans="1:8" x14ac:dyDescent="0.35">
      <c r="A16" s="30">
        <f t="shared" si="3"/>
        <v>46174</v>
      </c>
      <c r="B16" s="31">
        <f>SUMIFS(Data!$I$2:$I$2000,Data!$A$2:$A$2000,"&gt;="&amp;$A16,Data!$A$2:$A$2000,"&lt;"&amp;EDATE($A16,1),Data!$C$2:$C$2000,$B$3)</f>
        <v>133109.51999999999</v>
      </c>
      <c r="C16" s="31">
        <f>SUMIFS(Data!$J$2:$J$2000,Data!$A$2:$A$2000,"&gt;="&amp;$A16,Data!$A$2:$A$2000,"&lt;"&amp;EDATE($A16,1),Data!$C$2:$C$2000,$B$3)</f>
        <v>70943.599999999991</v>
      </c>
      <c r="D16" s="27">
        <f>COUNTIFS(Data!$A$2:$A$2000,"&gt;="&amp;$A16,Data!$A$2:$A$2000,"&lt;"&amp;EDATE($A16,1),Data!$C$2:$C$2000,$B$3)</f>
        <v>35</v>
      </c>
      <c r="E16" s="27">
        <f>SUMIFS(Data!$F$2:$F$2000,Data!$A$2:$A$2000,"&gt;="&amp;$A16,Data!$A$2:$A$2000,"&lt;"&amp;EDATE($A16,1),Data!$C$2:$C$2000,$B$3)</f>
        <v>616</v>
      </c>
      <c r="F16" s="31">
        <f t="shared" si="0"/>
        <v>123166.66666666667</v>
      </c>
      <c r="G16" s="32">
        <f t="shared" si="1"/>
        <v>0.53297164620532023</v>
      </c>
      <c r="H16" s="27" t="str">
        <f t="shared" si="2"/>
        <v>Jun 26</v>
      </c>
    </row>
    <row r="17" spans="1:8" x14ac:dyDescent="0.35">
      <c r="A17" s="30">
        <f t="shared" si="3"/>
        <v>46204</v>
      </c>
      <c r="B17" s="31">
        <f>SUMIFS(Data!$I$2:$I$2000,Data!$A$2:$A$2000,"&gt;="&amp;$A17,Data!$A$2:$A$2000,"&lt;"&amp;EDATE($A17,1),Data!$C$2:$C$2000,$B$3)</f>
        <v>132471.72</v>
      </c>
      <c r="C17" s="31">
        <f>SUMIFS(Data!$J$2:$J$2000,Data!$A$2:$A$2000,"&gt;="&amp;$A17,Data!$A$2:$A$2000,"&lt;"&amp;EDATE($A17,1),Data!$C$2:$C$2000,$B$3)</f>
        <v>75510.720000000016</v>
      </c>
      <c r="D17" s="27">
        <f>COUNTIFS(Data!$A$2:$A$2000,"&gt;="&amp;$A17,Data!$A$2:$A$2000,"&lt;"&amp;EDATE($A17,1),Data!$C$2:$C$2000,$B$3)</f>
        <v>36</v>
      </c>
      <c r="E17" s="27">
        <f>SUMIFS(Data!$F$2:$F$2000,Data!$A$2:$A$2000,"&gt;="&amp;$A17,Data!$A$2:$A$2000,"&lt;"&amp;EDATE($A17,1),Data!$C$2:$C$2000,$B$3)</f>
        <v>721</v>
      </c>
      <c r="F17" s="31">
        <f t="shared" si="0"/>
        <v>123166.66666666667</v>
      </c>
      <c r="G17" s="32">
        <f t="shared" si="1"/>
        <v>0.57001388673748643</v>
      </c>
      <c r="H17" s="27" t="str">
        <f t="shared" si="2"/>
        <v>Jul 26</v>
      </c>
    </row>
    <row r="18" spans="1:8" x14ac:dyDescent="0.35">
      <c r="A18" s="30">
        <f t="shared" si="3"/>
        <v>46235</v>
      </c>
      <c r="B18" s="31">
        <f>SUMIFS(Data!$I$2:$I$2000,Data!$A$2:$A$2000,"&gt;="&amp;$A18,Data!$A$2:$A$2000,"&lt;"&amp;EDATE($A18,1),Data!$C$2:$C$2000,$B$3)</f>
        <v>125008.86000000003</v>
      </c>
      <c r="C18" s="31">
        <f>SUMIFS(Data!$J$2:$J$2000,Data!$A$2:$A$2000,"&gt;="&amp;$A18,Data!$A$2:$A$2000,"&lt;"&amp;EDATE($A18,1),Data!$C$2:$C$2000,$B$3)</f>
        <v>71066.600000000006</v>
      </c>
      <c r="D18" s="27">
        <f>COUNTIFS(Data!$A$2:$A$2000,"&gt;="&amp;$A18,Data!$A$2:$A$2000,"&lt;"&amp;EDATE($A18,1),Data!$C$2:$C$2000,$B$3)</f>
        <v>35</v>
      </c>
      <c r="E18" s="27">
        <f>SUMIFS(Data!$F$2:$F$2000,Data!$A$2:$A$2000,"&gt;="&amp;$A18,Data!$A$2:$A$2000,"&lt;"&amp;EDATE($A18,1),Data!$C$2:$C$2000,$B$3)</f>
        <v>731</v>
      </c>
      <c r="F18" s="31">
        <f t="shared" si="0"/>
        <v>123166.66666666667</v>
      </c>
      <c r="G18" s="32">
        <f t="shared" si="1"/>
        <v>0.56849250525122774</v>
      </c>
      <c r="H18" s="27" t="str">
        <f t="shared" si="2"/>
        <v>Aug 26</v>
      </c>
    </row>
    <row r="19" spans="1:8" x14ac:dyDescent="0.35">
      <c r="A19" s="30">
        <f t="shared" si="3"/>
        <v>46266</v>
      </c>
      <c r="B19" s="31">
        <f>SUMIFS(Data!$I$2:$I$2000,Data!$A$2:$A$2000,"&gt;="&amp;$A19,Data!$A$2:$A$2000,"&lt;"&amp;EDATE($A19,1),Data!$C$2:$C$2000,$B$3)</f>
        <v>150701.42999999996</v>
      </c>
      <c r="C19" s="31">
        <f>SUMIFS(Data!$J$2:$J$2000,Data!$A$2:$A$2000,"&gt;="&amp;$A19,Data!$A$2:$A$2000,"&lt;"&amp;EDATE($A19,1),Data!$C$2:$C$2000,$B$3)</f>
        <v>84604.489999999991</v>
      </c>
      <c r="D19" s="27">
        <f>COUNTIFS(Data!$A$2:$A$2000,"&gt;="&amp;$A19,Data!$A$2:$A$2000,"&lt;"&amp;EDATE($A19,1),Data!$C$2:$C$2000,$B$3)</f>
        <v>40</v>
      </c>
      <c r="E19" s="27">
        <f>SUMIFS(Data!$F$2:$F$2000,Data!$A$2:$A$2000,"&gt;="&amp;$A19,Data!$A$2:$A$2000,"&lt;"&amp;EDATE($A19,1),Data!$C$2:$C$2000,$B$3)</f>
        <v>764</v>
      </c>
      <c r="F19" s="31">
        <f t="shared" si="0"/>
        <v>123166.66666666667</v>
      </c>
      <c r="G19" s="32">
        <f t="shared" si="1"/>
        <v>0.56140469270928628</v>
      </c>
      <c r="H19" s="27" t="str">
        <f t="shared" si="2"/>
        <v>Sep 26</v>
      </c>
    </row>
    <row r="22" spans="1:8" x14ac:dyDescent="0.35">
      <c r="A22" s="13" t="s">
        <v>14</v>
      </c>
      <c r="B22" s="13" t="s">
        <v>15</v>
      </c>
      <c r="C22" s="13" t="s">
        <v>18</v>
      </c>
      <c r="D22" s="13" t="s">
        <v>19</v>
      </c>
      <c r="E22" s="13" t="s">
        <v>429</v>
      </c>
      <c r="F22" s="13" t="s">
        <v>17</v>
      </c>
    </row>
    <row r="23" spans="1:8" x14ac:dyDescent="0.35">
      <c r="A23" s="27" t="s">
        <v>36</v>
      </c>
      <c r="B23" s="31">
        <f>SUMIFS(Data!$I$2:$I$2000,Data!$A$2:$A$2000,"&gt;="&amp;$B$4,Data!$A$2:$A$2000,"&lt;"&amp;$B$5,Data!$C$2:$C$2000,$A23)</f>
        <v>374637.06999999989</v>
      </c>
      <c r="C23" s="31">
        <f>SUMIFS(Data!$J$2:$J$2000,Data!$A$2:$A$2000,"&gt;="&amp;$B$4,Data!$A$2:$A$2000,"&lt;"&amp;$B$5,Data!$C$2:$C$2000,$A23)</f>
        <v>214734.50999999995</v>
      </c>
      <c r="D23" s="32">
        <f>IFERROR(C23/B23,0)</f>
        <v>0.57318009133479508</v>
      </c>
      <c r="E23" s="33">
        <v>402000</v>
      </c>
      <c r="F23" s="32">
        <f>IFERROR(B23/E23,0)</f>
        <v>0.93193300995024853</v>
      </c>
    </row>
    <row r="24" spans="1:8" x14ac:dyDescent="0.35">
      <c r="A24" s="27" t="s">
        <v>44</v>
      </c>
      <c r="B24" s="31">
        <f>SUMIFS(Data!$I$2:$I$2000,Data!$A$2:$A$2000,"&gt;="&amp;$B$4,Data!$A$2:$A$2000,"&lt;"&amp;$B$5,Data!$C$2:$C$2000,$A24)</f>
        <v>352969.96000000008</v>
      </c>
      <c r="C24" s="31">
        <f>SUMIFS(Data!$J$2:$J$2000,Data!$A$2:$A$2000,"&gt;="&amp;$B$4,Data!$A$2:$A$2000,"&lt;"&amp;$B$5,Data!$C$2:$C$2000,$A24)</f>
        <v>201394.93000000002</v>
      </c>
      <c r="D24" s="32">
        <f>IFERROR(C24/B24,0)</f>
        <v>0.57057243624924903</v>
      </c>
      <c r="E24" s="33">
        <v>375000</v>
      </c>
      <c r="F24" s="32">
        <f>IFERROR(B24/E24,0)</f>
        <v>0.94125322666666689</v>
      </c>
    </row>
    <row r="25" spans="1:8" x14ac:dyDescent="0.35">
      <c r="A25" s="27" t="s">
        <v>32</v>
      </c>
      <c r="B25" s="31">
        <f>SUMIFS(Data!$I$2:$I$2000,Data!$A$2:$A$2000,"&gt;="&amp;$B$4,Data!$A$2:$A$2000,"&lt;"&amp;$B$5,Data!$C$2:$C$2000,$A25)</f>
        <v>309096.52000000008</v>
      </c>
      <c r="C25" s="31">
        <f>SUMIFS(Data!$J$2:$J$2000,Data!$A$2:$A$2000,"&gt;="&amp;$B$4,Data!$A$2:$A$2000,"&lt;"&amp;$B$5,Data!$C$2:$C$2000,$A25)</f>
        <v>172410.76999999993</v>
      </c>
      <c r="D25" s="32">
        <f>IFERROR(C25/B25,0)</f>
        <v>0.55778942448138813</v>
      </c>
      <c r="E25" s="33">
        <v>290000</v>
      </c>
      <c r="F25" s="32">
        <f>IFERROR(B25/E25,0)</f>
        <v>1.0658500689655175</v>
      </c>
    </row>
    <row r="26" spans="1:8" x14ac:dyDescent="0.35">
      <c r="A26" s="27" t="s">
        <v>49</v>
      </c>
      <c r="B26" s="31">
        <f>SUMIFS(Data!$I$2:$I$2000,Data!$A$2:$A$2000,"&gt;="&amp;$B$4,Data!$A$2:$A$2000,"&lt;"&amp;$B$5,Data!$C$2:$C$2000,$A26)</f>
        <v>384889.53000000014</v>
      </c>
      <c r="C26" s="31">
        <f>SUMIFS(Data!$J$2:$J$2000,Data!$A$2:$A$2000,"&gt;="&amp;$B$4,Data!$A$2:$A$2000,"&lt;"&amp;$B$5,Data!$C$2:$C$2000,$A26)</f>
        <v>218295.52000000002</v>
      </c>
      <c r="D26" s="32">
        <f>IFERROR(C26/B26,0)</f>
        <v>0.56716408991431888</v>
      </c>
      <c r="E26" s="33">
        <v>411000</v>
      </c>
      <c r="F26" s="32">
        <f>IFERROR(B26/E26,0)</f>
        <v>0.93647087591240907</v>
      </c>
    </row>
    <row r="27" spans="1:8" x14ac:dyDescent="0.35">
      <c r="A27" s="34" t="s">
        <v>430</v>
      </c>
      <c r="B27" s="35">
        <f>SUM(B23:B26)</f>
        <v>1421593.08</v>
      </c>
      <c r="C27" s="35">
        <f>SUM(C23:C26)</f>
        <v>806835.72999999986</v>
      </c>
      <c r="D27" s="36">
        <f>IFERROR(C27/B27,0)</f>
        <v>0.56755744055816582</v>
      </c>
      <c r="E27" s="35">
        <f>SUM(E23:E26)</f>
        <v>1478000</v>
      </c>
      <c r="F27" s="36">
        <f>IFERROR(B27/E27,0)</f>
        <v>0.96183564276048716</v>
      </c>
    </row>
    <row r="30" spans="1:8" x14ac:dyDescent="0.35">
      <c r="A30" s="13" t="s">
        <v>25</v>
      </c>
      <c r="B30" s="13" t="s">
        <v>15</v>
      </c>
      <c r="C30" s="13" t="s">
        <v>18</v>
      </c>
      <c r="D30" s="13" t="s">
        <v>431</v>
      </c>
    </row>
    <row r="31" spans="1:8" x14ac:dyDescent="0.35">
      <c r="A31" s="27" t="s">
        <v>61</v>
      </c>
      <c r="B31" s="31">
        <f>SUMIFS(Data!$I$2:$I$2000,Data!$A$2:$A$2000,"&gt;="&amp;$B$4,Data!$A$2:$A$2000,"&lt;"&amp;$B$5,Data!$E$2:$E$2000,$A31,Data!$C$2:$C$2000,$B$3)</f>
        <v>302676.57</v>
      </c>
      <c r="C31" s="31">
        <f>SUMIFS(Data!$J$2:$J$2000,Data!$A$2:$A$2000,"&gt;="&amp;$B$4,Data!$A$2:$A$2000,"&lt;"&amp;$B$5,Data!$E$2:$E$2000,$A31,Data!$C$2:$C$2000,$B$3)</f>
        <v>96697.23</v>
      </c>
      <c r="D31" s="32">
        <f>IFERROR(B31/B$35,0)</f>
        <v>0.21291364896064355</v>
      </c>
    </row>
    <row r="32" spans="1:8" x14ac:dyDescent="0.35">
      <c r="A32" s="27" t="s">
        <v>42</v>
      </c>
      <c r="B32" s="31">
        <f>SUMIFS(Data!$I$2:$I$2000,Data!$A$2:$A$2000,"&gt;="&amp;$B$4,Data!$A$2:$A$2000,"&lt;"&amp;$B$5,Data!$E$2:$E$2000,$A32,Data!$C$2:$C$2000,$B$3)</f>
        <v>482659.93999999994</v>
      </c>
      <c r="C32" s="31">
        <f>SUMIFS(Data!$J$2:$J$2000,Data!$A$2:$A$2000,"&gt;="&amp;$B$4,Data!$A$2:$A$2000,"&lt;"&amp;$B$5,Data!$E$2:$E$2000,$A32,Data!$C$2:$C$2000,$B$3)</f>
        <v>376548.46000000008</v>
      </c>
      <c r="D32" s="32">
        <f>IFERROR(B32/B$35,0)</f>
        <v>0.33952046249409151</v>
      </c>
    </row>
    <row r="33" spans="1:6" x14ac:dyDescent="0.35">
      <c r="A33" s="27" t="s">
        <v>40</v>
      </c>
      <c r="B33" s="31">
        <f>SUMIFS(Data!$I$2:$I$2000,Data!$A$2:$A$2000,"&gt;="&amp;$B$4,Data!$A$2:$A$2000,"&lt;"&amp;$B$5,Data!$E$2:$E$2000,$A33,Data!$C$2:$C$2000,$B$3)</f>
        <v>479642.04999999981</v>
      </c>
      <c r="C33" s="31">
        <f>SUMIFS(Data!$J$2:$J$2000,Data!$A$2:$A$2000,"&gt;="&amp;$B$4,Data!$A$2:$A$2000,"&lt;"&amp;$B$5,Data!$E$2:$E$2000,$A33,Data!$C$2:$C$2000,$B$3)</f>
        <v>263338.99</v>
      </c>
      <c r="D33" s="32">
        <f>IFERROR(B33/B$35,0)</f>
        <v>0.33739756949295213</v>
      </c>
    </row>
    <row r="34" spans="1:6" x14ac:dyDescent="0.35">
      <c r="A34" s="27" t="s">
        <v>34</v>
      </c>
      <c r="B34" s="31">
        <f>SUMIFS(Data!$I$2:$I$2000,Data!$A$2:$A$2000,"&gt;="&amp;$B$4,Data!$A$2:$A$2000,"&lt;"&amp;$B$5,Data!$E$2:$E$2000,$A34,Data!$C$2:$C$2000,$B$3)</f>
        <v>156614.51999999999</v>
      </c>
      <c r="C34" s="31">
        <f>SUMIFS(Data!$J$2:$J$2000,Data!$A$2:$A$2000,"&gt;="&amp;$B$4,Data!$A$2:$A$2000,"&lt;"&amp;$B$5,Data!$E$2:$E$2000,$A34,Data!$C$2:$C$2000,$B$3)</f>
        <v>70251.050000000047</v>
      </c>
      <c r="D34" s="32">
        <f>IFERROR(B34/B$35,0)</f>
        <v>0.11016831905231278</v>
      </c>
    </row>
    <row r="35" spans="1:6" x14ac:dyDescent="0.35">
      <c r="A35" s="34" t="s">
        <v>430</v>
      </c>
      <c r="B35" s="35">
        <f>SUM(B31:B34)</f>
        <v>1421593.0799999998</v>
      </c>
      <c r="C35" s="35">
        <f>SUM(C31:C34)</f>
        <v>806835.7300000001</v>
      </c>
      <c r="D35" s="36">
        <f>SUM(D31:D34)</f>
        <v>1</v>
      </c>
    </row>
    <row r="38" spans="1:6" x14ac:dyDescent="0.35">
      <c r="A38" s="13" t="s">
        <v>432</v>
      </c>
      <c r="B38" s="13" t="s">
        <v>14</v>
      </c>
      <c r="C38" s="13" t="s">
        <v>15</v>
      </c>
      <c r="D38" s="13" t="s">
        <v>429</v>
      </c>
      <c r="E38" s="13" t="s">
        <v>433</v>
      </c>
      <c r="F38" s="13" t="s">
        <v>434</v>
      </c>
    </row>
    <row r="39" spans="1:6" x14ac:dyDescent="0.35">
      <c r="A39" s="23" t="s">
        <v>37</v>
      </c>
      <c r="B39" s="23" t="s">
        <v>36</v>
      </c>
      <c r="C39" s="31">
        <f>SUMIFS(Data!$I$2:$I$2000,Data!$A$2:$A$2000,"&gt;="&amp;$B$4,Data!$A$2:$A$2000,"&lt;"&amp;$B$5,Data!$D$2:$D$2000,$A39)</f>
        <v>162405.76999999996</v>
      </c>
      <c r="D39" s="33">
        <v>160000</v>
      </c>
      <c r="E39" s="37">
        <f t="shared" ref="E39:E46" si="4">C39+ROW()/1000000</f>
        <v>162405.77003899997</v>
      </c>
      <c r="F39" s="27">
        <f t="shared" ref="F39:F46" si="5">RANK(E39,$E$39:$E$46)</f>
        <v>7</v>
      </c>
    </row>
    <row r="40" spans="1:6" x14ac:dyDescent="0.35">
      <c r="A40" s="23" t="s">
        <v>39</v>
      </c>
      <c r="B40" s="23" t="s">
        <v>36</v>
      </c>
      <c r="C40" s="31">
        <f>SUMIFS(Data!$I$2:$I$2000,Data!$A$2:$A$2000,"&gt;="&amp;$B$4,Data!$A$2:$A$2000,"&lt;"&amp;$B$5,Data!$D$2:$D$2000,$A40)</f>
        <v>212231.30000000002</v>
      </c>
      <c r="D40" s="33">
        <v>212000</v>
      </c>
      <c r="E40" s="37">
        <f t="shared" si="4"/>
        <v>212231.30004000003</v>
      </c>
      <c r="F40" s="27">
        <f t="shared" si="5"/>
        <v>1</v>
      </c>
    </row>
    <row r="41" spans="1:6" x14ac:dyDescent="0.35">
      <c r="A41" s="23" t="s">
        <v>57</v>
      </c>
      <c r="B41" s="23" t="s">
        <v>44</v>
      </c>
      <c r="C41" s="31">
        <f>SUMIFS(Data!$I$2:$I$2000,Data!$A$2:$A$2000,"&gt;="&amp;$B$4,Data!$A$2:$A$2000,"&lt;"&amp;$B$5,Data!$D$2:$D$2000,$A41)</f>
        <v>172930.65999999992</v>
      </c>
      <c r="D41" s="33">
        <v>167000</v>
      </c>
      <c r="E41" s="37">
        <f t="shared" si="4"/>
        <v>172930.66004099991</v>
      </c>
      <c r="F41" s="27">
        <f t="shared" si="5"/>
        <v>5</v>
      </c>
    </row>
    <row r="42" spans="1:6" x14ac:dyDescent="0.35">
      <c r="A42" s="23" t="s">
        <v>45</v>
      </c>
      <c r="B42" s="23" t="s">
        <v>44</v>
      </c>
      <c r="C42" s="31">
        <f>SUMIFS(Data!$I$2:$I$2000,Data!$A$2:$A$2000,"&gt;="&amp;$B$4,Data!$A$2:$A$2000,"&lt;"&amp;$B$5,Data!$D$2:$D$2000,$A42)</f>
        <v>180039.29999999993</v>
      </c>
      <c r="D42" s="33">
        <v>197000</v>
      </c>
      <c r="E42" s="37">
        <f t="shared" si="4"/>
        <v>180039.30004199993</v>
      </c>
      <c r="F42" s="27">
        <f t="shared" si="5"/>
        <v>3</v>
      </c>
    </row>
    <row r="43" spans="1:6" x14ac:dyDescent="0.35">
      <c r="A43" s="23" t="s">
        <v>33</v>
      </c>
      <c r="B43" s="23" t="s">
        <v>32</v>
      </c>
      <c r="C43" s="31">
        <f>SUMIFS(Data!$I$2:$I$2000,Data!$A$2:$A$2000,"&gt;="&amp;$B$4,Data!$A$2:$A$2000,"&lt;"&amp;$B$5,Data!$D$2:$D$2000,$A43)</f>
        <v>138043.27999999997</v>
      </c>
      <c r="D43" s="33">
        <v>142000</v>
      </c>
      <c r="E43" s="37">
        <f t="shared" si="4"/>
        <v>138043.28004299998</v>
      </c>
      <c r="F43" s="27">
        <f t="shared" si="5"/>
        <v>8</v>
      </c>
    </row>
    <row r="44" spans="1:6" x14ac:dyDescent="0.35">
      <c r="A44" s="23" t="s">
        <v>47</v>
      </c>
      <c r="B44" s="23" t="s">
        <v>32</v>
      </c>
      <c r="C44" s="31">
        <f>SUMIFS(Data!$I$2:$I$2000,Data!$A$2:$A$2000,"&gt;="&amp;$B$4,Data!$A$2:$A$2000,"&lt;"&amp;$B$5,Data!$D$2:$D$2000,$A44)</f>
        <v>171053.24000000005</v>
      </c>
      <c r="D44" s="33">
        <v>186000</v>
      </c>
      <c r="E44" s="37">
        <f t="shared" si="4"/>
        <v>171053.24004400003</v>
      </c>
      <c r="F44" s="27">
        <f t="shared" si="5"/>
        <v>6</v>
      </c>
    </row>
    <row r="45" spans="1:6" x14ac:dyDescent="0.35">
      <c r="A45" s="23" t="s">
        <v>55</v>
      </c>
      <c r="B45" s="23" t="s">
        <v>49</v>
      </c>
      <c r="C45" s="31">
        <f>SUMIFS(Data!$I$2:$I$2000,Data!$A$2:$A$2000,"&gt;="&amp;$B$4,Data!$A$2:$A$2000,"&lt;"&amp;$B$5,Data!$D$2:$D$2000,$A45)</f>
        <v>207557.45</v>
      </c>
      <c r="D45" s="33">
        <v>219000</v>
      </c>
      <c r="E45" s="37">
        <f t="shared" si="4"/>
        <v>207557.45004500001</v>
      </c>
      <c r="F45" s="27">
        <f t="shared" si="5"/>
        <v>2</v>
      </c>
    </row>
    <row r="46" spans="1:6" x14ac:dyDescent="0.35">
      <c r="A46" s="23" t="s">
        <v>50</v>
      </c>
      <c r="B46" s="23" t="s">
        <v>49</v>
      </c>
      <c r="C46" s="31">
        <f>SUMIFS(Data!$I$2:$I$2000,Data!$A$2:$A$2000,"&gt;="&amp;$B$4,Data!$A$2:$A$2000,"&lt;"&amp;$B$5,Data!$D$2:$D$2000,$A46)</f>
        <v>177332.07999999996</v>
      </c>
      <c r="D46" s="33">
        <v>183000</v>
      </c>
      <c r="E46" s="37">
        <f t="shared" si="4"/>
        <v>177332.08004599996</v>
      </c>
      <c r="F46" s="27">
        <f t="shared" si="5"/>
        <v>4</v>
      </c>
    </row>
    <row r="49" spans="1:6" x14ac:dyDescent="0.35">
      <c r="A49" s="13" t="s">
        <v>434</v>
      </c>
      <c r="B49" s="13" t="s">
        <v>432</v>
      </c>
      <c r="C49" s="13" t="s">
        <v>14</v>
      </c>
      <c r="D49" s="13" t="s">
        <v>15</v>
      </c>
      <c r="E49" s="13" t="s">
        <v>16</v>
      </c>
      <c r="F49" s="13" t="s">
        <v>17</v>
      </c>
    </row>
    <row r="50" spans="1:6" x14ac:dyDescent="0.35">
      <c r="A50" s="27">
        <v>1</v>
      </c>
      <c r="B50" s="27" t="str">
        <f t="shared" ref="B50:B57" si="6">INDEX($A$39:$A$46,MATCH($A50,$F$39:$F$46,0))</f>
        <v>Sofia Rossi</v>
      </c>
      <c r="C50" s="27" t="str">
        <f t="shared" ref="C50:C57" si="7">INDEX($B$39:$B$46,MATCH($A50,$F$39:$F$46,0))</f>
        <v>North</v>
      </c>
      <c r="D50" s="31">
        <f t="shared" ref="D50:D57" si="8">INDEX($C$39:$C$46,MATCH($A50,$F$39:$F$46,0))</f>
        <v>212231.30000000002</v>
      </c>
      <c r="E50" s="31">
        <f t="shared" ref="E50:E57" si="9">INDEX($D$39:$D$46,MATCH($A50,$F$39:$F$46,0))</f>
        <v>212000</v>
      </c>
      <c r="F50" s="32">
        <f t="shared" ref="F50:F57" si="10">IFERROR(D50/E50,0)</f>
        <v>1.0010910377358491</v>
      </c>
    </row>
    <row r="51" spans="1:6" x14ac:dyDescent="0.35">
      <c r="A51" s="27">
        <v>2</v>
      </c>
      <c r="B51" s="27" t="str">
        <f t="shared" si="6"/>
        <v>Noah Becker</v>
      </c>
      <c r="C51" s="27" t="str">
        <f t="shared" si="7"/>
        <v>West</v>
      </c>
      <c r="D51" s="31">
        <f t="shared" si="8"/>
        <v>207557.45</v>
      </c>
      <c r="E51" s="31">
        <f t="shared" si="9"/>
        <v>219000</v>
      </c>
      <c r="F51" s="32">
        <f t="shared" si="10"/>
        <v>0.94775091324200922</v>
      </c>
    </row>
    <row r="52" spans="1:6" x14ac:dyDescent="0.35">
      <c r="A52" s="27">
        <v>3</v>
      </c>
      <c r="B52" s="27" t="str">
        <f t="shared" si="6"/>
        <v>Elena Petrova</v>
      </c>
      <c r="C52" s="27" t="str">
        <f t="shared" si="7"/>
        <v>South</v>
      </c>
      <c r="D52" s="31">
        <f t="shared" si="8"/>
        <v>180039.29999999993</v>
      </c>
      <c r="E52" s="31">
        <f t="shared" si="9"/>
        <v>197000</v>
      </c>
      <c r="F52" s="32">
        <f t="shared" si="10"/>
        <v>0.91390507614213168</v>
      </c>
    </row>
    <row r="53" spans="1:6" x14ac:dyDescent="0.35">
      <c r="A53" s="27">
        <v>4</v>
      </c>
      <c r="B53" s="27" t="str">
        <f t="shared" si="6"/>
        <v>Maya Lopez</v>
      </c>
      <c r="C53" s="27" t="str">
        <f t="shared" si="7"/>
        <v>West</v>
      </c>
      <c r="D53" s="31">
        <f t="shared" si="8"/>
        <v>177332.07999999996</v>
      </c>
      <c r="E53" s="31">
        <f t="shared" si="9"/>
        <v>183000</v>
      </c>
      <c r="F53" s="32">
        <f t="shared" si="10"/>
        <v>0.96902775956284126</v>
      </c>
    </row>
    <row r="54" spans="1:6" x14ac:dyDescent="0.35">
      <c r="A54" s="27">
        <v>5</v>
      </c>
      <c r="B54" s="27" t="str">
        <f t="shared" si="6"/>
        <v>Omar Haddad</v>
      </c>
      <c r="C54" s="27" t="str">
        <f t="shared" si="7"/>
        <v>South</v>
      </c>
      <c r="D54" s="31">
        <f t="shared" si="8"/>
        <v>172930.65999999992</v>
      </c>
      <c r="E54" s="31">
        <f t="shared" si="9"/>
        <v>167000</v>
      </c>
      <c r="F54" s="32">
        <f t="shared" si="10"/>
        <v>1.035512934131736</v>
      </c>
    </row>
    <row r="55" spans="1:6" x14ac:dyDescent="0.35">
      <c r="A55" s="27">
        <v>6</v>
      </c>
      <c r="B55" s="27" t="str">
        <f t="shared" si="6"/>
        <v>Priya Nair</v>
      </c>
      <c r="C55" s="27" t="str">
        <f t="shared" si="7"/>
        <v>East</v>
      </c>
      <c r="D55" s="31">
        <f t="shared" si="8"/>
        <v>171053.24000000005</v>
      </c>
      <c r="E55" s="31">
        <f t="shared" si="9"/>
        <v>186000</v>
      </c>
      <c r="F55" s="32">
        <f t="shared" si="10"/>
        <v>0.91964107526881744</v>
      </c>
    </row>
    <row r="56" spans="1:6" x14ac:dyDescent="0.35">
      <c r="A56" s="27">
        <v>7</v>
      </c>
      <c r="B56" s="27" t="str">
        <f t="shared" si="6"/>
        <v>Liam Carter</v>
      </c>
      <c r="C56" s="27" t="str">
        <f t="shared" si="7"/>
        <v>North</v>
      </c>
      <c r="D56" s="31">
        <f t="shared" si="8"/>
        <v>162405.76999999996</v>
      </c>
      <c r="E56" s="31">
        <f t="shared" si="9"/>
        <v>160000</v>
      </c>
      <c r="F56" s="32">
        <f t="shared" si="10"/>
        <v>1.0150360624999997</v>
      </c>
    </row>
    <row r="57" spans="1:6" x14ac:dyDescent="0.35">
      <c r="A57" s="27">
        <v>8</v>
      </c>
      <c r="B57" s="27" t="str">
        <f t="shared" si="6"/>
        <v>Kenji Tanaka</v>
      </c>
      <c r="C57" s="27" t="str">
        <f t="shared" si="7"/>
        <v>East</v>
      </c>
      <c r="D57" s="31">
        <f t="shared" si="8"/>
        <v>138043.27999999997</v>
      </c>
      <c r="E57" s="31">
        <f t="shared" si="9"/>
        <v>142000</v>
      </c>
      <c r="F57" s="32">
        <f t="shared" si="10"/>
        <v>0.97213577464788714</v>
      </c>
    </row>
    <row r="60" spans="1:6" x14ac:dyDescent="0.35">
      <c r="A60" s="10" t="s">
        <v>435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7280"/>
  </sheetPr>
  <dimension ref="B2:C22"/>
  <sheetViews>
    <sheetView showGridLines="0" zoomScaleNormal="100" workbookViewId="0"/>
  </sheetViews>
  <sheetFormatPr baseColWidth="10" defaultColWidth="8.6328125" defaultRowHeight="14.5" x14ac:dyDescent="0.35"/>
  <cols>
    <col min="1" max="1" width="2" customWidth="1"/>
    <col min="2" max="2" width="26" customWidth="1"/>
    <col min="3" max="3" width="95" customWidth="1"/>
  </cols>
  <sheetData>
    <row r="2" spans="2:3" x14ac:dyDescent="0.35">
      <c r="B2" s="38" t="s">
        <v>436</v>
      </c>
    </row>
    <row r="3" spans="2:3" ht="25" x14ac:dyDescent="0.35">
      <c r="B3" s="39" t="s">
        <v>437</v>
      </c>
      <c r="C3" s="40" t="s">
        <v>438</v>
      </c>
    </row>
    <row r="4" spans="2:3" ht="25" x14ac:dyDescent="0.35">
      <c r="B4" s="39" t="s">
        <v>439</v>
      </c>
      <c r="C4" s="40" t="s">
        <v>440</v>
      </c>
    </row>
    <row r="5" spans="2:3" x14ac:dyDescent="0.35">
      <c r="B5" s="39" t="s">
        <v>441</v>
      </c>
      <c r="C5" s="40" t="s">
        <v>442</v>
      </c>
    </row>
    <row r="6" spans="2:3" x14ac:dyDescent="0.35">
      <c r="B6" s="39" t="s">
        <v>443</v>
      </c>
      <c r="C6" s="40" t="s">
        <v>444</v>
      </c>
    </row>
    <row r="7" spans="2:3" x14ac:dyDescent="0.35">
      <c r="B7" s="39"/>
      <c r="C7" s="40"/>
    </row>
    <row r="8" spans="2:3" x14ac:dyDescent="0.35">
      <c r="B8" s="38" t="s">
        <v>445</v>
      </c>
    </row>
    <row r="9" spans="2:3" x14ac:dyDescent="0.35">
      <c r="B9" s="41" t="s">
        <v>446</v>
      </c>
      <c r="C9" s="40" t="s">
        <v>447</v>
      </c>
    </row>
    <row r="10" spans="2:3" x14ac:dyDescent="0.35">
      <c r="B10" s="39" t="s">
        <v>448</v>
      </c>
      <c r="C10" s="40" t="s">
        <v>449</v>
      </c>
    </row>
    <row r="11" spans="2:3" x14ac:dyDescent="0.35">
      <c r="B11" s="39" t="s">
        <v>450</v>
      </c>
      <c r="C11" s="40" t="s">
        <v>451</v>
      </c>
    </row>
    <row r="12" spans="2:3" x14ac:dyDescent="0.35">
      <c r="B12" s="39"/>
      <c r="C12" s="40"/>
    </row>
    <row r="13" spans="2:3" x14ac:dyDescent="0.35">
      <c r="B13" s="38" t="s">
        <v>452</v>
      </c>
    </row>
    <row r="14" spans="2:3" ht="25" x14ac:dyDescent="0.35">
      <c r="B14" s="39" t="s">
        <v>453</v>
      </c>
      <c r="C14" s="40" t="s">
        <v>454</v>
      </c>
    </row>
    <row r="15" spans="2:3" x14ac:dyDescent="0.35">
      <c r="B15" s="39" t="s">
        <v>455</v>
      </c>
      <c r="C15" s="40" t="s">
        <v>456</v>
      </c>
    </row>
    <row r="16" spans="2:3" x14ac:dyDescent="0.35">
      <c r="B16" s="39" t="s">
        <v>18</v>
      </c>
      <c r="C16" s="40" t="s">
        <v>457</v>
      </c>
    </row>
    <row r="17" spans="2:3" x14ac:dyDescent="0.35">
      <c r="B17" s="39"/>
      <c r="C17" s="40"/>
    </row>
    <row r="18" spans="2:3" x14ac:dyDescent="0.35">
      <c r="B18" s="38" t="s">
        <v>458</v>
      </c>
    </row>
    <row r="19" spans="2:3" x14ac:dyDescent="0.35">
      <c r="B19" s="39" t="s">
        <v>459</v>
      </c>
      <c r="C19" s="40" t="s">
        <v>460</v>
      </c>
    </row>
    <row r="20" spans="2:3" ht="25" x14ac:dyDescent="0.35">
      <c r="B20" s="39" t="s">
        <v>461</v>
      </c>
      <c r="C20" s="40" t="s">
        <v>462</v>
      </c>
    </row>
    <row r="21" spans="2:3" x14ac:dyDescent="0.35">
      <c r="B21" s="39" t="s">
        <v>463</v>
      </c>
      <c r="C21" s="40" t="s">
        <v>464</v>
      </c>
    </row>
    <row r="22" spans="2:3" x14ac:dyDescent="0.35">
      <c r="B22" s="39" t="s">
        <v>465</v>
      </c>
      <c r="C22" s="40" t="s">
        <v>466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Dashboard</vt:lpstr>
      <vt:lpstr>Data</vt:lpstr>
      <vt:lpstr>Calc</vt:lpstr>
      <vt:lpstr>Guide</vt:lpstr>
      <vt:lpstr>Dashboard!Zone_d_impression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oussama.azaroual79@hotmail.com</cp:lastModifiedBy>
  <cp:revision>1</cp:revision>
  <dcterms:created xsi:type="dcterms:W3CDTF">2026-10-09T13:19:29Z</dcterms:created>
  <dcterms:modified xsi:type="dcterms:W3CDTF">2026-10-09T12:23:02Z</dcterms:modified>
  <dc:language>en-US</dc:language>
</cp:coreProperties>
</file>